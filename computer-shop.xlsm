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as\Downloads\"/>
    </mc:Choice>
  </mc:AlternateContent>
  <bookViews>
    <workbookView xWindow="0" yWindow="90" windowWidth="19155" windowHeight="8445" tabRatio="779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 " sheetId="11" r:id="rId5"/>
    <sheet name="TABELA DINÂMICA" sheetId="10" r:id="rId6"/>
    <sheet name="DADOS GRÁFICO" sheetId="7" r:id="rId7"/>
    <sheet name="PEDIDOS" sheetId="6" r:id="rId8"/>
  </sheets>
  <calcPr calcId="152511"/>
  <pivotCaches>
    <pivotCache cacheId="4" r:id="rId9"/>
  </pivotCaches>
</workbook>
</file>

<file path=xl/calcChain.xml><?xml version="1.0" encoding="utf-8"?>
<calcChain xmlns="http://schemas.openxmlformats.org/spreadsheetml/2006/main">
  <c r="C143" i="3" l="1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P15" i="2"/>
  <c r="P14" i="2"/>
  <c r="P13" i="2"/>
  <c r="H20" i="2" l="1"/>
  <c r="P18" i="2"/>
  <c r="P17" i="2"/>
  <c r="P16" i="2"/>
  <c r="P11" i="2"/>
  <c r="P10" i="2"/>
  <c r="P12" i="2"/>
  <c r="I11" i="2"/>
  <c r="I12" i="2"/>
  <c r="I13" i="2"/>
  <c r="I14" i="2"/>
  <c r="I15" i="2"/>
  <c r="I16" i="2"/>
  <c r="I17" i="2"/>
  <c r="I18" i="2"/>
  <c r="I10" i="2"/>
  <c r="H11" i="2"/>
  <c r="H12" i="2"/>
  <c r="H13" i="2"/>
  <c r="H14" i="2"/>
  <c r="H15" i="2"/>
  <c r="H16" i="2"/>
  <c r="H17" i="2"/>
  <c r="H18" i="2"/>
  <c r="H10" i="2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H19" i="2" l="1"/>
</calcChain>
</file>

<file path=xl/sharedStrings.xml><?xml version="1.0" encoding="utf-8"?>
<sst xmlns="http://schemas.openxmlformats.org/spreadsheetml/2006/main" count="481" uniqueCount="151">
  <si>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</si>
  <si>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</si>
  <si>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</si>
  <si>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</si>
  <si>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</si>
  <si>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</si>
  <si>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</si>
  <si>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</si>
  <si>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</si>
  <si>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</si>
  <si>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</si>
  <si>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</si>
  <si>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</si>
  <si>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</si>
  <si>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</si>
  <si>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</si>
  <si>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</si>
  <si>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</si>
  <si>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</si>
  <si>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</si>
  <si>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</si>
  <si>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</si>
  <si>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</si>
  <si>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</si>
  <si>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</si>
  <si>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</si>
  <si>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</si>
  <si>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</si>
  <si>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</si>
  <si>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</si>
  <si>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</si>
  <si>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</si>
  <si>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</si>
  <si>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</si>
  <si>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</si>
  <si>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</si>
  <si>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</si>
  <si>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</si>
  <si>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</si>
  <si>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</si>
  <si>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</si>
  <si>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</si>
  <si>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</si>
  <si>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</si>
  <si>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</si>
  <si>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</si>
  <si>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</si>
  <si>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</si>
  <si>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</si>
  <si>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</si>
  <si>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</si>
  <si>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</si>
  <si>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</si>
  <si>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</si>
  <si>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</si>
  <si>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</si>
  <si>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</si>
  <si>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</si>
  <si>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</si>
  <si>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</si>
  <si>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</si>
  <si>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</si>
  <si>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</si>
  <si>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</si>
  <si>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</si>
  <si>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</si>
  <si>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</si>
  <si>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</si>
  <si>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</si>
  <si>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</si>
  <si>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</si>
  <si>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</si>
  <si>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</si>
  <si>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</si>
  <si>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</si>
  <si>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</si>
  <si>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</si>
  <si>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</si>
  <si>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</si>
  <si>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</si>
  <si>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</si>
  <si>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</si>
  <si>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</si>
  <si>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</si>
  <si>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</si>
  <si>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</si>
  <si>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</si>
  <si>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</si>
  <si>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</si>
  <si>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</si>
  <si>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</si>
  <si>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</si>
  <si>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</si>
  <si>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</si>
  <si>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</si>
  <si>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</si>
  <si>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</si>
  <si>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</si>
  <si>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</si>
  <si>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</si>
  <si>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</si>
  <si>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</si>
  <si>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</si>
  <si>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</si>
  <si>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</si>
  <si>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</si>
  <si>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Qtde Notas Fiscais</t>
  </si>
  <si>
    <t>fornecedora de produtos.</t>
  </si>
  <si>
    <t>Consolidar a quantidade de notas fiscais de cada empresa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</si>
  <si>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</si>
  <si>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</si>
  <si>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</si>
  <si>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</si>
  <si>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</si>
  <si>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</si>
  <si>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</si>
  <si>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</si>
  <si>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</si>
  <si>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</si>
  <si>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</si>
  <si>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</si>
  <si>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</si>
  <si>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</si>
  <si>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</si>
  <si>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</si>
  <si>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</si>
  <si>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</si>
  <si>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</si>
  <si>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</si>
  <si>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</si>
  <si>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</si>
  <si>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</si>
  <si>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</si>
  <si>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</si>
  <si>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</si>
  <si>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</si>
  <si>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</si>
  <si>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</si>
  <si>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</si>
  <si>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</si>
  <si>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</si>
  <si>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</si>
  <si>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</si>
  <si>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</si>
  <si>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</si>
  <si>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</si>
  <si>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</si>
  <si>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Rótulos de Linha</t>
  </si>
  <si>
    <t>Soma de R$ 456,00</t>
  </si>
  <si>
    <t>Soma de R$ 5.534,00</t>
  </si>
  <si>
    <t>Soma de R$ 23.432,00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</si>
</sst>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&quot;R$ &quot;#,##0.00"/>
    <numFmt numFmtId="166" formatCode="&quot;R$ &quot;#,##0.00_);\(&quot;R$ &quot;#,##0.00\)"/>
    <numFmt numFmtId="167" formatCode="&quot;R$&quot;\ #,##0.0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</cellStyleXfs>
  <cellXfs count="196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5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44" fontId="0" fillId="0" borderId="43" xfId="2" applyFont="1" applyBorder="1" applyAlignment="1">
      <alignment horizontal="left"/>
    </xf>
    <xf numFmtId="44" fontId="0" fillId="0" borderId="44" xfId="2" applyFont="1" applyBorder="1" applyAlignment="1">
      <alignment horizontal="left"/>
    </xf>
    <xf numFmtId="44" fontId="0" fillId="0" borderId="44" xfId="2" applyFont="1" applyFill="1" applyBorder="1" applyAlignment="1">
      <alignment horizontal="left"/>
    </xf>
    <xf numFmtId="44" fontId="0" fillId="0" borderId="45" xfId="2" applyFont="1" applyBorder="1" applyAlignment="1">
      <alignment horizontal="left"/>
    </xf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44" fontId="14" fillId="0" borderId="19" xfId="2" applyFont="1" applyFill="1" applyBorder="1" applyAlignment="1">
      <alignment horizontal="center" wrapText="1"/>
    </xf>
    <xf numFmtId="44" fontId="0" fillId="0" borderId="19" xfId="2" applyFont="1" applyBorder="1"/>
    <xf numFmtId="44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6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6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17" fillId="0" borderId="43" xfId="2" applyNumberFormat="1" applyFont="1" applyFill="1" applyBorder="1" applyAlignment="1">
      <alignment horizontal="center" vertical="center"/>
    </xf>
    <xf numFmtId="166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6" fontId="17" fillId="0" borderId="39" xfId="1" applyNumberFormat="1" applyFont="1" applyFill="1" applyBorder="1" applyAlignment="1">
      <alignment horizontal="center" vertical="center"/>
    </xf>
    <xf numFmtId="164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44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2" applyFont="1" applyBorder="1"/>
    <xf numFmtId="0" fontId="0" fillId="0" borderId="19" xfId="0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167" fontId="0" fillId="0" borderId="19" xfId="0" applyNumberFormat="1" applyBorder="1"/>
    <xf numFmtId="44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44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5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5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7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44" fontId="0" fillId="0" borderId="24" xfId="2" applyFont="1" applyBorder="1" applyAlignment="1">
      <alignment horizontal="center"/>
    </xf>
    <xf numFmtId="44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7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7" fontId="0" fillId="0" borderId="24" xfId="2" applyNumberFormat="1" applyFont="1" applyBorder="1" applyAlignment="1">
      <alignment horizontal="center"/>
    </xf>
    <xf numFmtId="44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44" fontId="23" fillId="0" borderId="18" xfId="2" applyFont="1" applyBorder="1" applyAlignment="1">
      <alignment horizontal="center"/>
    </xf>
    <xf numFmtId="44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44" fontId="23" fillId="0" borderId="9" xfId="2" applyFont="1" applyBorder="1" applyAlignment="1">
      <alignment horizontal="center"/>
    </xf>
    <xf numFmtId="44" fontId="23" fillId="0" borderId="12" xfId="2" applyFont="1" applyBorder="1" applyAlignment="1">
      <alignment horizontal="center"/>
    </xf>
    <xf numFmtId="44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44" fontId="23" fillId="0" borderId="5" xfId="2" applyFont="1" applyBorder="1" applyAlignment="1">
      <alignment horizontal="center"/>
    </xf>
    <xf numFmtId="44" fontId="23" fillId="0" borderId="41" xfId="2" applyFont="1" applyBorder="1" applyAlignment="1">
      <alignment horizontal="center"/>
    </xf>
    <xf numFmtId="44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44" fontId="23" fillId="0" borderId="36" xfId="2" applyFont="1" applyBorder="1" applyAlignment="1">
      <alignment horizontal="center"/>
    </xf>
    <xf numFmtId="44" fontId="23" fillId="0" borderId="37" xfId="2" applyFont="1" applyBorder="1" applyAlignment="1">
      <alignment horizontal="center"/>
    </xf>
    <xf numFmtId="44" fontId="23" fillId="0" borderId="33" xfId="2" applyFont="1" applyBorder="1" applyAlignment="1">
      <alignment horizontal="center"/>
    </xf>
    <xf numFmtId="44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44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1" fontId="0" fillId="0" borderId="8" xfId="2" applyNumberFormat="1" applyFont="1" applyBorder="1" applyAlignment="1">
      <alignment horizontal="left"/>
    </xf>
    <xf numFmtId="1" fontId="0" fillId="0" borderId="34" xfId="2" applyNumberFormat="1" applyFont="1" applyBorder="1" applyAlignment="1">
      <alignment horizontal="left"/>
    </xf>
    <xf numFmtId="1" fontId="0" fillId="0" borderId="34" xfId="2" applyNumberFormat="1" applyFont="1" applyFill="1" applyBorder="1" applyAlignment="1">
      <alignment horizontal="left"/>
    </xf>
    <xf numFmtId="0" fontId="0" fillId="0" borderId="34" xfId="2" applyNumberFormat="1" applyFont="1" applyBorder="1" applyAlignment="1">
      <alignment horizontal="left"/>
    </xf>
    <xf numFmtId="1" fontId="0" fillId="0" borderId="47" xfId="0" applyNumberFormat="1" applyBorder="1" applyAlignment="1">
      <alignment horizontal="left"/>
    </xf>
    <xf numFmtId="1" fontId="0" fillId="0" borderId="44" xfId="0" applyNumberFormat="1" applyBorder="1" applyAlignment="1">
      <alignment horizontal="left"/>
    </xf>
    <xf numFmtId="1" fontId="0" fillId="0" borderId="44" xfId="0" applyNumberFormat="1" applyFill="1" applyBorder="1" applyAlignment="1">
      <alignment horizontal="left"/>
    </xf>
    <xf numFmtId="0" fontId="0" fillId="0" borderId="44" xfId="0" applyBorder="1" applyAlignment="1">
      <alignment horizontal="left"/>
    </xf>
    <xf numFmtId="1" fontId="0" fillId="0" borderId="34" xfId="0" applyNumberFormat="1" applyBorder="1" applyAlignment="1">
      <alignment horizontal="left"/>
    </xf>
    <xf numFmtId="0" fontId="0" fillId="0" borderId="45" xfId="0" applyBorder="1" applyAlignment="1">
      <alignment horizontal="left"/>
    </xf>
    <xf numFmtId="1" fontId="0" fillId="0" borderId="14" xfId="0" applyNumberFormat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4">
    <cellStyle name="Moeda" xfId="2" builtinId="4"/>
    <cellStyle name="Normal" xfId="0" builtinId="0"/>
    <cellStyle name="Normal_Dados Nota Fiscal" xfId="3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/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/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adastrar_pedidos"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login"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0</xdr:rowOff>
        </xdr:from>
        <xdr:to>
          <xdr:col>9</xdr:col>
          <xdr:colOff>352425</xdr:colOff>
          <xdr:row>21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as" refreshedDate="41902.577561342594" createdVersion="5" refreshedVersion="5" minRefreshableVersion="3" recordCount="13">
  <cacheSource type="worksheet">
    <worksheetSource ref="B10:F23" sheet="TABELA DINÂMICA"/>
  </cacheSource>
  <cacheFields count="5">
    <cacheField name="Mouse Óptico sem fio Microsoft" numFmtId="0">
      <sharedItems count="13"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Informática" numFmtId="0">
      <sharedItems count="3">
        <s v="Informática"/>
        <s v="Telefonia"/>
        <s v="Eletrônicos"/>
      </sharedItems>
    </cacheField>
    <cacheField name="R$ 456,00" numFmtId="167">
      <sharedItems containsSemiMixedTypes="0" containsString="0" containsNumber="1" containsInteger="1" minValue="21" maxValue="9876"/>
    </cacheField>
    <cacheField name="R$ 5.534,00" numFmtId="167">
      <sharedItems containsSemiMixedTypes="0" containsString="0" containsNumber="1" containsInteger="1" minValue="2" maxValue="656"/>
    </cacheField>
    <cacheField name="R$ 23.432,00" numFmtId="167">
      <sharedItems containsSemiMixedTypes="0" containsString="0" containsNumber="1" containsInteger="1" minValue="24" maxValue="43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x v="0"/>
    <n v="333"/>
    <n v="223"/>
    <n v="432"/>
  </r>
  <r>
    <x v="1"/>
    <x v="0"/>
    <n v="3235"/>
    <n v="2"/>
    <n v="32"/>
  </r>
  <r>
    <x v="2"/>
    <x v="0"/>
    <n v="3456"/>
    <n v="121"/>
    <n v="32"/>
  </r>
  <r>
    <x v="3"/>
    <x v="1"/>
    <n v="1234"/>
    <n v="5"/>
    <n v="32"/>
  </r>
  <r>
    <x v="4"/>
    <x v="1"/>
    <n v="9876"/>
    <n v="656"/>
    <n v="32"/>
  </r>
  <r>
    <x v="5"/>
    <x v="0"/>
    <n v="4656"/>
    <n v="4"/>
    <n v="1234"/>
  </r>
  <r>
    <x v="6"/>
    <x v="0"/>
    <n v="4332"/>
    <n v="5"/>
    <n v="453"/>
  </r>
  <r>
    <x v="7"/>
    <x v="0"/>
    <n v="455"/>
    <n v="4"/>
    <n v="24"/>
  </r>
  <r>
    <x v="8"/>
    <x v="0"/>
    <n v="21"/>
    <n v="54"/>
    <n v="543"/>
  </r>
  <r>
    <x v="9"/>
    <x v="0"/>
    <n v="234"/>
    <n v="5"/>
    <n v="543"/>
  </r>
  <r>
    <x v="10"/>
    <x v="0"/>
    <n v="2456"/>
    <n v="5"/>
    <n v="667"/>
  </r>
  <r>
    <x v="11"/>
    <x v="2"/>
    <n v="322"/>
    <n v="6"/>
    <n v="4346"/>
  </r>
  <r>
    <x v="12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D30" firstHeaderRow="0" firstDataRow="1" firstDataCol="1"/>
  <pivotFields count="5">
    <pivotField axis="axisRow" showAll="0">
      <items count="14">
        <item x="10"/>
        <item x="0"/>
        <item x="11"/>
        <item x="2"/>
        <item x="1"/>
        <item x="6"/>
        <item x="5"/>
        <item x="9"/>
        <item x="8"/>
        <item x="3"/>
        <item x="7"/>
        <item x="4"/>
        <item x="12"/>
        <item t="default"/>
      </items>
    </pivotField>
    <pivotField axis="axisRow" showAll="0">
      <items count="4">
        <item x="2"/>
        <item x="0"/>
        <item x="1"/>
        <item t="default"/>
      </items>
    </pivotField>
    <pivotField dataField="1" numFmtId="167" showAll="0"/>
    <pivotField dataField="1" numFmtId="167" showAll="0"/>
    <pivotField dataField="1" numFmtId="167" showAll="0"/>
  </pivotFields>
  <rowFields count="2">
    <field x="0"/>
    <field x="1"/>
  </rowFields>
  <rowItems count="27">
    <i>
      <x/>
    </i>
    <i r="1">
      <x v="1"/>
    </i>
    <i>
      <x v="1"/>
    </i>
    <i r="1">
      <x v="1"/>
    </i>
    <i>
      <x v="2"/>
    </i>
    <i r="1">
      <x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2"/>
    </i>
    <i>
      <x v="12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R$ 456,00" fld="2" baseField="0" baseItem="0"/>
    <dataField name="Soma de R$ 5.534,00" fld="3" baseField="0" baseItem="0"/>
    <dataField name="Soma de R$ 23.432,00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Z1"/>
  <sheetViews>
    <sheetView showGridLines="0" tabSelected="1" topLeftCell="A4" workbookViewId="0">
      <selection activeCell="P13" sqref="P13"/>
    </sheetView>
  </sheetViews>
  <sheetFormatPr defaultRowHeight="15"/>
  <sheetData>
    <row r="1" spans="26:26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1:U24"/>
  <sheetViews>
    <sheetView showGridLines="0" zoomScale="90" zoomScaleNormal="90" workbookViewId="0">
      <selection activeCell="U17" sqref="U17"/>
    </sheetView>
  </sheetViews>
  <sheetFormatPr defaultRowHeight="1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2:21" ht="15.75" thickBot="1"/>
    <row r="2" spans="2:21" ht="19.5" thickBot="1">
      <c r="B2" s="94" t="s">
        <v>3</v>
      </c>
      <c r="C2" s="93"/>
      <c r="D2" s="7"/>
      <c r="E2" s="107"/>
      <c r="F2" s="107"/>
      <c r="G2" s="107"/>
      <c r="H2" s="107"/>
      <c r="I2" s="107"/>
      <c r="J2" s="107"/>
    </row>
    <row r="3" spans="2:21" ht="8.25" customHeight="1" thickBot="1">
      <c r="B3" s="1"/>
      <c r="C3" s="1"/>
      <c r="D3" s="2"/>
      <c r="E3" s="3"/>
      <c r="F3" s="3"/>
      <c r="G3" s="3"/>
      <c r="H3" s="3"/>
      <c r="I3" s="3"/>
      <c r="J3" s="3"/>
    </row>
    <row r="4" spans="2:21" ht="16.5" thickBot="1">
      <c r="B4" s="108" t="s">
        <v>2</v>
      </c>
      <c r="C4" s="109"/>
      <c r="D4" s="109"/>
      <c r="E4" s="109"/>
      <c r="F4" s="109"/>
      <c r="G4" s="109"/>
      <c r="H4" s="109"/>
      <c r="I4" s="109"/>
      <c r="J4" s="110"/>
    </row>
    <row r="5" spans="2:21" ht="15.95" customHeight="1">
      <c r="B5" s="81" t="s">
        <v>0</v>
      </c>
      <c r="C5" s="111"/>
      <c r="D5" s="112"/>
      <c r="E5" s="112"/>
      <c r="F5" s="112"/>
      <c r="G5" s="112"/>
      <c r="H5" s="112"/>
      <c r="I5" s="112"/>
      <c r="J5" s="113"/>
    </row>
    <row r="6" spans="2:21" ht="15.95" customHeight="1" thickBot="1">
      <c r="B6" s="82" t="s">
        <v>1</v>
      </c>
      <c r="C6" s="114"/>
      <c r="D6" s="115"/>
      <c r="E6" s="118" t="s">
        <v>91</v>
      </c>
      <c r="F6" s="119"/>
      <c r="G6" s="114"/>
      <c r="H6" s="116"/>
      <c r="I6" s="116"/>
      <c r="J6" s="117"/>
      <c r="U6" s="80"/>
    </row>
    <row r="7" spans="2:21" ht="10.5" customHeight="1" thickBot="1">
      <c r="B7" s="4"/>
      <c r="C7" s="5"/>
      <c r="D7" s="5"/>
      <c r="E7" s="4"/>
      <c r="F7" s="4"/>
      <c r="G7" s="5"/>
      <c r="H7" s="5"/>
      <c r="I7" s="5"/>
      <c r="J7" s="5"/>
    </row>
    <row r="8" spans="2:21" ht="18" customHeight="1">
      <c r="B8" s="145" t="s">
        <v>8</v>
      </c>
      <c r="C8" s="145"/>
      <c r="D8" s="145"/>
      <c r="E8" s="145"/>
      <c r="F8" s="145"/>
      <c r="G8" s="145"/>
      <c r="H8" s="145"/>
      <c r="I8" s="145"/>
      <c r="J8" s="145"/>
      <c r="L8" s="159" t="s">
        <v>12</v>
      </c>
      <c r="M8" s="160"/>
      <c r="N8" s="160"/>
      <c r="O8" s="160"/>
      <c r="P8" s="160"/>
      <c r="Q8" s="161"/>
    </row>
    <row r="9" spans="2:21" ht="15.95" customHeight="1" thickBot="1">
      <c r="B9" s="89" t="s">
        <v>13</v>
      </c>
      <c r="C9" s="156" t="s">
        <v>14</v>
      </c>
      <c r="D9" s="156"/>
      <c r="E9" s="156"/>
      <c r="F9" s="89" t="s">
        <v>15</v>
      </c>
      <c r="G9" s="89" t="s">
        <v>16</v>
      </c>
      <c r="H9" s="89" t="s">
        <v>17</v>
      </c>
      <c r="I9" s="156" t="s">
        <v>18</v>
      </c>
      <c r="J9" s="156"/>
      <c r="L9" s="162"/>
      <c r="M9" s="163"/>
      <c r="N9" s="163"/>
      <c r="O9" s="163"/>
      <c r="P9" s="163"/>
      <c r="Q9" s="164"/>
    </row>
    <row r="10" spans="2:21" ht="15.95" customHeight="1">
      <c r="B10" s="90">
        <v>2000</v>
      </c>
      <c r="C10" s="106" t="str">
        <f>IF(B10="","",VLOOKUP(B10,PEDIDOS!B9:E34,2,FALSE))</f>
        <v>Mouse Óptico sem fio Microsoft</v>
      </c>
      <c r="D10" s="106"/>
      <c r="E10" s="106"/>
      <c r="F10" s="90" t="str">
        <f>IF(B10="","",VLOOKUP(B10,PEDIDOS!B9:E34,4,FALSE))</f>
        <v>Informática</v>
      </c>
      <c r="G10" s="91">
        <v>4</v>
      </c>
      <c r="H10" s="92">
        <f>IF(B10="","",VLOOKUP(B10,PEDIDOS!B9:E34,3,FALSE))</f>
        <v>65</v>
      </c>
      <c r="I10" s="105">
        <f>H10*G10</f>
        <v>260</v>
      </c>
      <c r="J10" s="105"/>
      <c r="L10" s="146" t="s">
        <v>112</v>
      </c>
      <c r="M10" s="147"/>
      <c r="N10" s="147"/>
      <c r="O10" s="148"/>
      <c r="P10" s="152">
        <f>SMALL(H10:H18,2)</f>
        <v>65</v>
      </c>
      <c r="Q10" s="153"/>
    </row>
    <row r="11" spans="2:21" ht="15.95" customHeight="1">
      <c r="B11" s="90">
        <v>2001</v>
      </c>
      <c r="C11" s="106" t="str">
        <f>IF(B11="","",VLOOKUP(B11,PEDIDOS!B10:E35,2,FALSE))</f>
        <v>Impressora Multi HP</v>
      </c>
      <c r="D11" s="106"/>
      <c r="E11" s="106"/>
      <c r="F11" s="90" t="str">
        <f>IF(B11="","",VLOOKUP(B11,PEDIDOS!B10:E35,4,FALSE))</f>
        <v>Informática</v>
      </c>
      <c r="G11" s="91">
        <v>3</v>
      </c>
      <c r="H11" s="92">
        <f>IF(B11="","",VLOOKUP(B11,PEDIDOS!B10:E35,3,FALSE))</f>
        <v>399</v>
      </c>
      <c r="I11" s="105">
        <f t="shared" ref="I11:I18" si="0">H11*G11</f>
        <v>1197</v>
      </c>
      <c r="J11" s="105"/>
      <c r="L11" s="149" t="s">
        <v>113</v>
      </c>
      <c r="M11" s="150"/>
      <c r="N11" s="150"/>
      <c r="O11" s="151"/>
      <c r="P11" s="154">
        <f>LARGE(H10:H18,4)</f>
        <v>550</v>
      </c>
      <c r="Q11" s="155"/>
    </row>
    <row r="12" spans="2:21" ht="15.95" customHeight="1">
      <c r="B12" s="90">
        <v>2002</v>
      </c>
      <c r="C12" s="106" t="str">
        <f>IF(B12="","",VLOOKUP(B12,PEDIDOS!B11:E36,2,FALSE))</f>
        <v>Notebook Dell</v>
      </c>
      <c r="D12" s="106"/>
      <c r="E12" s="106"/>
      <c r="F12" s="90" t="str">
        <f>IF(B12="","",VLOOKUP(B12,PEDIDOS!B11:E36,4,FALSE))</f>
        <v>Informática</v>
      </c>
      <c r="G12" s="91">
        <v>5</v>
      </c>
      <c r="H12" s="92">
        <f>IF(B12="","",VLOOKUP(B12,PEDIDOS!B11:E36,3,FALSE))</f>
        <v>1890</v>
      </c>
      <c r="I12" s="105">
        <f t="shared" si="0"/>
        <v>9450</v>
      </c>
      <c r="J12" s="105"/>
      <c r="L12" s="149" t="s">
        <v>19</v>
      </c>
      <c r="M12" s="150"/>
      <c r="N12" s="150"/>
      <c r="O12" s="151"/>
      <c r="P12" s="154">
        <f>AVERAGE(I10:J18)</f>
        <v>2963.1111111111113</v>
      </c>
      <c r="Q12" s="155"/>
    </row>
    <row r="13" spans="2:21" ht="15.95" customHeight="1">
      <c r="B13" s="90">
        <v>2003</v>
      </c>
      <c r="C13" s="106" t="str">
        <f>IF(B13="","",VLOOKUP(B13,PEDIDOS!B12:E37,2,FALSE))</f>
        <v>Monitor LCD 19'' AOC</v>
      </c>
      <c r="D13" s="106"/>
      <c r="E13" s="106"/>
      <c r="F13" s="90" t="str">
        <f>IF(B13="","",VLOOKUP(B13,PEDIDOS!B12:E37,4,FALSE))</f>
        <v>Informática</v>
      </c>
      <c r="G13" s="91">
        <v>2</v>
      </c>
      <c r="H13" s="92">
        <f>IF(B13="","",VLOOKUP(B13,PEDIDOS!B12:E37,3,FALSE))</f>
        <v>550</v>
      </c>
      <c r="I13" s="105">
        <f t="shared" si="0"/>
        <v>1100</v>
      </c>
      <c r="J13" s="105"/>
      <c r="L13" s="149" t="s">
        <v>97</v>
      </c>
      <c r="M13" s="150"/>
      <c r="N13" s="150"/>
      <c r="O13" s="151"/>
      <c r="P13" s="154">
        <f>SUMIF(F10:F18,"Informática",I10:J18)</f>
        <v>18798</v>
      </c>
      <c r="Q13" s="155"/>
    </row>
    <row r="14" spans="2:21" ht="15.95" customHeight="1">
      <c r="B14" s="90">
        <v>2004</v>
      </c>
      <c r="C14" s="106" t="str">
        <f>IF(B14="","",VLOOKUP(B14,PEDIDOS!B13:E38,2,FALSE))</f>
        <v>Smartphone Nokia N8</v>
      </c>
      <c r="D14" s="106"/>
      <c r="E14" s="106"/>
      <c r="F14" s="90" t="str">
        <f>IF(B14="","",VLOOKUP(B14,PEDIDOS!B13:E38,4,FALSE))</f>
        <v>Telefonia</v>
      </c>
      <c r="G14" s="91">
        <v>5</v>
      </c>
      <c r="H14" s="92">
        <f>IF(B14="","",VLOOKUP(B14,PEDIDOS!B13:E38,3,FALSE))</f>
        <v>1499</v>
      </c>
      <c r="I14" s="105">
        <f t="shared" si="0"/>
        <v>7495</v>
      </c>
      <c r="J14" s="105"/>
      <c r="L14" s="149" t="s">
        <v>98</v>
      </c>
      <c r="M14" s="150"/>
      <c r="N14" s="150"/>
      <c r="O14" s="151"/>
      <c r="P14" s="154">
        <f>SUMIF(F10:F18,"Telefonia",I10:J18)</f>
        <v>7870</v>
      </c>
      <c r="Q14" s="155"/>
    </row>
    <row r="15" spans="2:21" ht="15.95" customHeight="1">
      <c r="B15" s="90">
        <v>2005</v>
      </c>
      <c r="C15" s="106" t="str">
        <f>IF(B15="","",VLOOKUP(B15,PEDIDOS!B14:E39,2,FALSE))</f>
        <v>Telefone sem fio Motorola</v>
      </c>
      <c r="D15" s="106"/>
      <c r="E15" s="106"/>
      <c r="F15" s="90" t="str">
        <f>IF(B15="","",VLOOKUP(B15,PEDIDOS!B14:E39,4,FALSE))</f>
        <v>Telefonia</v>
      </c>
      <c r="G15" s="91">
        <v>3</v>
      </c>
      <c r="H15" s="92">
        <f>IF(B15="","",VLOOKUP(B15,PEDIDOS!B14:E39,3,FALSE))</f>
        <v>125</v>
      </c>
      <c r="I15" s="105">
        <f t="shared" si="0"/>
        <v>375</v>
      </c>
      <c r="J15" s="105"/>
      <c r="L15" s="149" t="s">
        <v>99</v>
      </c>
      <c r="M15" s="150"/>
      <c r="N15" s="150"/>
      <c r="O15" s="151"/>
      <c r="P15" s="154">
        <f>SUMIF(F10:F18,"Eletrônicos",I10:J18)</f>
        <v>0</v>
      </c>
      <c r="Q15" s="155"/>
    </row>
    <row r="16" spans="2:21" ht="15.95" customHeight="1">
      <c r="B16" s="90">
        <v>2006</v>
      </c>
      <c r="C16" s="106" t="str">
        <f>IF(B16="","",VLOOKUP(B16,PEDIDOS!B15:E40,2,FALSE))</f>
        <v>Pen Drive 4GB</v>
      </c>
      <c r="D16" s="106"/>
      <c r="E16" s="106"/>
      <c r="F16" s="90" t="str">
        <f>IF(B16="","",VLOOKUP(B16,PEDIDOS!B15:E40,4,FALSE))</f>
        <v>Informática</v>
      </c>
      <c r="G16" s="91">
        <v>4</v>
      </c>
      <c r="H16" s="92">
        <f>IF(B16="","",VLOOKUP(B16,PEDIDOS!B15:E40,3,FALSE))</f>
        <v>29</v>
      </c>
      <c r="I16" s="105">
        <f t="shared" si="0"/>
        <v>116</v>
      </c>
      <c r="J16" s="105"/>
      <c r="L16" s="149" t="s">
        <v>9</v>
      </c>
      <c r="M16" s="150"/>
      <c r="N16" s="150"/>
      <c r="O16" s="151"/>
      <c r="P16" s="165">
        <f>COUNTIF(F10:F18,"Informática")</f>
        <v>7</v>
      </c>
      <c r="Q16" s="166"/>
    </row>
    <row r="17" spans="2:17" ht="15.95" customHeight="1">
      <c r="B17" s="90">
        <v>2007</v>
      </c>
      <c r="C17" s="106" t="str">
        <f>IF(B17="","",VLOOKUP(B17,PEDIDOS!B16:E41,2,FALSE))</f>
        <v>Notebook Sony Vaio</v>
      </c>
      <c r="D17" s="106"/>
      <c r="E17" s="106"/>
      <c r="F17" s="90" t="str">
        <f>IF(B17="","",VLOOKUP(B17,PEDIDOS!B16:E41,4,FALSE))</f>
        <v>Informática</v>
      </c>
      <c r="G17" s="91">
        <v>2</v>
      </c>
      <c r="H17" s="92">
        <f>IF(B17="","",VLOOKUP(B17,PEDIDOS!B16:E41,3,FALSE))</f>
        <v>3120</v>
      </c>
      <c r="I17" s="105">
        <f t="shared" si="0"/>
        <v>6240</v>
      </c>
      <c r="J17" s="105"/>
      <c r="L17" s="149" t="s">
        <v>10</v>
      </c>
      <c r="M17" s="150"/>
      <c r="N17" s="150"/>
      <c r="O17" s="151"/>
      <c r="P17" s="165">
        <f>COUNTIF(F10:F18,"Telefonia")</f>
        <v>2</v>
      </c>
      <c r="Q17" s="166"/>
    </row>
    <row r="18" spans="2:17" ht="15.95" customHeight="1" thickBot="1">
      <c r="B18" s="90">
        <v>2008</v>
      </c>
      <c r="C18" s="106" t="str">
        <f>IF(B18="","",VLOOKUP(B18,PEDIDOS!B17:E42,2,FALSE))</f>
        <v>Teclado sem fio Microsoft</v>
      </c>
      <c r="D18" s="106"/>
      <c r="E18" s="106"/>
      <c r="F18" s="90" t="str">
        <f>IF(B18="","",VLOOKUP(B18,PEDIDOS!B17:E42,4,FALSE))</f>
        <v>Informática</v>
      </c>
      <c r="G18" s="91">
        <v>3</v>
      </c>
      <c r="H18" s="92">
        <f>IF(B18="","",VLOOKUP(B18,PEDIDOS!B17:E42,3,FALSE))</f>
        <v>145</v>
      </c>
      <c r="I18" s="105">
        <f t="shared" si="0"/>
        <v>435</v>
      </c>
      <c r="J18" s="105"/>
      <c r="L18" s="167" t="s">
        <v>11</v>
      </c>
      <c r="M18" s="168"/>
      <c r="N18" s="168"/>
      <c r="O18" s="169"/>
      <c r="P18" s="157">
        <f>COUNTIF(F10:F18,"Eletrônicos")</f>
        <v>0</v>
      </c>
      <c r="Q18" s="158"/>
    </row>
    <row r="19" spans="2:17" ht="10.5" customHeight="1" thickBot="1">
      <c r="B19" s="6"/>
      <c r="C19" s="6"/>
      <c r="D19" s="6"/>
      <c r="E19" s="6"/>
      <c r="F19" s="6"/>
      <c r="G19" s="6"/>
      <c r="H19" s="65" t="str">
        <f>IF(F19="","",VLOOKUP(B19,PEDIDOS!$B$9:$E$34,3))</f>
        <v/>
      </c>
      <c r="I19" s="6"/>
      <c r="J19" s="6"/>
    </row>
    <row r="20" spans="2:17" ht="15.95" customHeight="1" thickBot="1">
      <c r="B20" s="127"/>
      <c r="C20" s="128"/>
      <c r="D20" s="128"/>
      <c r="E20" s="11"/>
      <c r="F20" s="83" t="s">
        <v>5</v>
      </c>
      <c r="G20" s="84"/>
      <c r="H20" s="133">
        <f>SUM(I10:J18)</f>
        <v>26668</v>
      </c>
      <c r="I20" s="134"/>
      <c r="J20" s="135"/>
      <c r="L20" s="138" t="s">
        <v>92</v>
      </c>
      <c r="M20" s="139"/>
      <c r="N20" s="139"/>
      <c r="O20" s="140"/>
    </row>
    <row r="21" spans="2:17" ht="15.95" customHeight="1">
      <c r="B21" s="129"/>
      <c r="C21" s="130"/>
      <c r="D21" s="130"/>
      <c r="E21" s="12"/>
      <c r="F21" s="85" t="s">
        <v>4</v>
      </c>
      <c r="G21" s="86"/>
      <c r="H21" s="9"/>
      <c r="I21" s="8"/>
      <c r="J21" s="10"/>
      <c r="L21" s="52" t="s">
        <v>93</v>
      </c>
      <c r="M21" s="53"/>
      <c r="N21" s="143" t="s">
        <v>114</v>
      </c>
      <c r="O21" s="144"/>
    </row>
    <row r="22" spans="2:17" ht="15.95" customHeight="1">
      <c r="B22" s="129"/>
      <c r="C22" s="130"/>
      <c r="D22" s="130"/>
      <c r="E22" s="12"/>
      <c r="F22" s="85" t="s">
        <v>6</v>
      </c>
      <c r="G22" s="86"/>
      <c r="H22" s="120"/>
      <c r="I22" s="105"/>
      <c r="J22" s="121"/>
      <c r="L22" s="54" t="s">
        <v>94</v>
      </c>
      <c r="M22" s="55"/>
      <c r="N22" s="122" t="s">
        <v>117</v>
      </c>
      <c r="O22" s="123"/>
    </row>
    <row r="23" spans="2:17" ht="15.95" customHeight="1">
      <c r="B23" s="129"/>
      <c r="C23" s="130"/>
      <c r="D23" s="130"/>
      <c r="E23" s="12"/>
      <c r="F23" s="85" t="s">
        <v>116</v>
      </c>
      <c r="G23" s="86"/>
      <c r="H23" s="120"/>
      <c r="I23" s="105"/>
      <c r="J23" s="121"/>
      <c r="L23" s="54" t="s">
        <v>115</v>
      </c>
      <c r="M23" s="55"/>
      <c r="N23" s="122" t="s">
        <v>118</v>
      </c>
      <c r="O23" s="123"/>
    </row>
    <row r="24" spans="2:17" ht="15.95" customHeight="1" thickBot="1">
      <c r="B24" s="131"/>
      <c r="C24" s="132"/>
      <c r="D24" s="132"/>
      <c r="E24" s="13"/>
      <c r="F24" s="87" t="s">
        <v>7</v>
      </c>
      <c r="G24" s="88"/>
      <c r="H24" s="124"/>
      <c r="I24" s="125"/>
      <c r="J24" s="126"/>
      <c r="L24" s="136" t="s">
        <v>95</v>
      </c>
      <c r="M24" s="137"/>
      <c r="N24" s="141" t="s">
        <v>96</v>
      </c>
      <c r="O24" s="142"/>
    </row>
  </sheetData>
  <mergeCells count="57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3">
    <dataValidation allowBlank="1" showErrorMessage="1" promptTitle="ATENÇÃO !!!" prompt="ID PRODUTO ENTRE 2000 E 2025." sqref="F10:J18"/>
    <dataValidation type="whole" allowBlank="1" showErrorMessage="1" errorTitle="ATENÇÃO" error="ID Inválido, tecle somente ID entre 2000 e 2025 !!!" sqref="B10:B18">
      <formula1>2000</formula1>
      <formula2>2025</formula2>
    </dataValidation>
    <dataValidation allowBlank="1" showErrorMessage="1" promptTitle="ATENÇÃO !!!" prompt="ID PRODUTO ENTRE 2000 E 2025." sqref="C10:E18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0</xdr:rowOff>
                  </from>
                  <to>
                    <xdr:col>9</xdr:col>
                    <xdr:colOff>352425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J143"/>
  <sheetViews>
    <sheetView showGridLines="0" workbookViewId="0">
      <selection activeCell="H16" sqref="H16"/>
    </sheetView>
  </sheetViews>
  <sheetFormatPr defaultRowHeight="15" outlineLevelRow="2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/>
    <row r="2" spans="2:10">
      <c r="F2" s="18" t="s">
        <v>109</v>
      </c>
      <c r="G2" s="18"/>
      <c r="H2" s="18"/>
      <c r="I2" s="18"/>
      <c r="J2" s="18"/>
    </row>
    <row r="3" spans="2:10">
      <c r="F3" s="18" t="s">
        <v>100</v>
      </c>
      <c r="G3" s="18"/>
      <c r="H3" s="18"/>
      <c r="I3" s="18"/>
      <c r="J3" s="18"/>
    </row>
    <row r="6" spans="2:10">
      <c r="C6" s="17"/>
    </row>
    <row r="7" spans="2:10" ht="15.75" thickBot="1">
      <c r="C7" s="17"/>
      <c r="I7" s="18"/>
    </row>
    <row r="8" spans="2:10" ht="16.5" thickBot="1">
      <c r="B8" s="170" t="s">
        <v>110</v>
      </c>
      <c r="C8" s="171"/>
      <c r="D8" s="172"/>
    </row>
    <row r="9" spans="2:10" ht="9" customHeight="1" thickBot="1">
      <c r="C9" s="17"/>
    </row>
    <row r="10" spans="2:10" ht="15.75" thickBot="1">
      <c r="B10" s="75" t="s">
        <v>20</v>
      </c>
      <c r="C10" s="76" t="s">
        <v>21</v>
      </c>
      <c r="D10" s="75" t="s">
        <v>38</v>
      </c>
    </row>
    <row r="11" spans="2:10" outlineLevel="2">
      <c r="B11" s="19" t="s">
        <v>22</v>
      </c>
      <c r="C11" s="29">
        <v>34856</v>
      </c>
      <c r="D11" s="20">
        <v>565544</v>
      </c>
      <c r="G11" s="17"/>
    </row>
    <row r="12" spans="2:10" outlineLevel="2">
      <c r="B12" s="19" t="s">
        <v>22</v>
      </c>
      <c r="C12" s="30">
        <v>25221</v>
      </c>
      <c r="D12" s="21">
        <v>45214</v>
      </c>
      <c r="G12" s="17"/>
    </row>
    <row r="13" spans="2:10" outlineLevel="2">
      <c r="B13" s="19" t="s">
        <v>22</v>
      </c>
      <c r="C13" s="30">
        <v>9857</v>
      </c>
      <c r="D13" s="21">
        <v>225663</v>
      </c>
      <c r="G13" s="17"/>
    </row>
    <row r="14" spans="2:10" outlineLevel="2">
      <c r="B14" s="19" t="s">
        <v>22</v>
      </c>
      <c r="C14" s="30">
        <v>22336</v>
      </c>
      <c r="D14" s="21">
        <v>253654</v>
      </c>
      <c r="G14" s="17"/>
    </row>
    <row r="15" spans="2:10" outlineLevel="2">
      <c r="B15" s="19" t="s">
        <v>22</v>
      </c>
      <c r="C15" s="30">
        <v>9587</v>
      </c>
      <c r="D15" s="21">
        <v>896542</v>
      </c>
      <c r="G15" s="17"/>
    </row>
    <row r="16" spans="2:10" outlineLevel="1">
      <c r="B16" s="175" t="s">
        <v>129</v>
      </c>
      <c r="C16" s="30">
        <f>SUBTOTAL(9,C11:C15)</f>
        <v>101857</v>
      </c>
      <c r="D16" s="21"/>
      <c r="G16" s="17"/>
    </row>
    <row r="17" spans="2:4" outlineLevel="2">
      <c r="B17" s="22" t="s">
        <v>23</v>
      </c>
      <c r="C17" s="31">
        <v>9852</v>
      </c>
      <c r="D17" s="23">
        <v>12544</v>
      </c>
    </row>
    <row r="18" spans="2:4" outlineLevel="2">
      <c r="B18" s="22" t="s">
        <v>23</v>
      </c>
      <c r="C18" s="31">
        <v>11125</v>
      </c>
      <c r="D18" s="23">
        <v>25413</v>
      </c>
    </row>
    <row r="19" spans="2:4" outlineLevel="2">
      <c r="B19" s="22" t="s">
        <v>23</v>
      </c>
      <c r="C19" s="30">
        <v>32556</v>
      </c>
      <c r="D19" s="21">
        <v>44474</v>
      </c>
    </row>
    <row r="20" spans="2:4" outlineLevel="2">
      <c r="B20" s="22" t="s">
        <v>23</v>
      </c>
      <c r="C20" s="30">
        <v>45201</v>
      </c>
      <c r="D20" s="21">
        <v>142122</v>
      </c>
    </row>
    <row r="21" spans="2:4" outlineLevel="2">
      <c r="B21" s="22" t="s">
        <v>23</v>
      </c>
      <c r="C21" s="30">
        <v>36982</v>
      </c>
      <c r="D21" s="21">
        <v>112253</v>
      </c>
    </row>
    <row r="22" spans="2:4" outlineLevel="2">
      <c r="B22" s="22" t="s">
        <v>23</v>
      </c>
      <c r="C22" s="30">
        <v>41145</v>
      </c>
      <c r="D22" s="21">
        <v>121217</v>
      </c>
    </row>
    <row r="23" spans="2:4" outlineLevel="2">
      <c r="B23" s="22" t="s">
        <v>23</v>
      </c>
      <c r="C23" s="30">
        <v>56632</v>
      </c>
      <c r="D23" s="21">
        <v>655554</v>
      </c>
    </row>
    <row r="24" spans="2:4" outlineLevel="2">
      <c r="B24" s="22" t="s">
        <v>23</v>
      </c>
      <c r="C24" s="30">
        <v>41212</v>
      </c>
      <c r="D24" s="21">
        <v>561221</v>
      </c>
    </row>
    <row r="25" spans="2:4" outlineLevel="1">
      <c r="B25" s="176" t="s">
        <v>130</v>
      </c>
      <c r="C25" s="30">
        <f>SUBTOTAL(9,C17:C24)</f>
        <v>274705</v>
      </c>
      <c r="D25" s="21"/>
    </row>
    <row r="26" spans="2:4" outlineLevel="2">
      <c r="B26" s="24" t="s">
        <v>24</v>
      </c>
      <c r="C26" s="30">
        <v>19857</v>
      </c>
      <c r="D26" s="21">
        <v>121112</v>
      </c>
    </row>
    <row r="27" spans="2:4" outlineLevel="2">
      <c r="B27" s="24" t="s">
        <v>24</v>
      </c>
      <c r="C27" s="30">
        <v>11741</v>
      </c>
      <c r="D27" s="21">
        <v>554112</v>
      </c>
    </row>
    <row r="28" spans="2:4" outlineLevel="2">
      <c r="B28" s="24" t="s">
        <v>24</v>
      </c>
      <c r="C28" s="30">
        <v>22123</v>
      </c>
      <c r="D28" s="21">
        <v>185477</v>
      </c>
    </row>
    <row r="29" spans="2:4" outlineLevel="2">
      <c r="B29" s="24" t="s">
        <v>24</v>
      </c>
      <c r="C29" s="30">
        <v>12365</v>
      </c>
      <c r="D29" s="21">
        <v>211456</v>
      </c>
    </row>
    <row r="30" spans="2:4" outlineLevel="2">
      <c r="B30" s="24" t="s">
        <v>24</v>
      </c>
      <c r="C30" s="30">
        <v>6442</v>
      </c>
      <c r="D30" s="21">
        <v>121221</v>
      </c>
    </row>
    <row r="31" spans="2:4" outlineLevel="2">
      <c r="B31" s="24" t="s">
        <v>24</v>
      </c>
      <c r="C31" s="30">
        <v>36985</v>
      </c>
      <c r="D31" s="21">
        <v>653222</v>
      </c>
    </row>
    <row r="32" spans="2:4" outlineLevel="1">
      <c r="B32" s="177" t="s">
        <v>131</v>
      </c>
      <c r="C32" s="30">
        <f>SUBTOTAL(9,C26:C31)</f>
        <v>109513</v>
      </c>
      <c r="D32" s="21"/>
    </row>
    <row r="33" spans="2:4" outlineLevel="2">
      <c r="B33" s="24" t="s">
        <v>25</v>
      </c>
      <c r="C33" s="30">
        <v>1256</v>
      </c>
      <c r="D33" s="21">
        <v>363512</v>
      </c>
    </row>
    <row r="34" spans="2:4" outlineLevel="2">
      <c r="B34" s="24" t="s">
        <v>25</v>
      </c>
      <c r="C34" s="30">
        <v>985</v>
      </c>
      <c r="D34" s="21">
        <v>633221</v>
      </c>
    </row>
    <row r="35" spans="2:4" outlineLevel="2">
      <c r="B35" s="24" t="s">
        <v>25</v>
      </c>
      <c r="C35" s="30">
        <v>46654.22</v>
      </c>
      <c r="D35" s="21">
        <v>545445</v>
      </c>
    </row>
    <row r="36" spans="2:4" outlineLevel="2">
      <c r="B36" s="24" t="s">
        <v>25</v>
      </c>
      <c r="C36" s="30">
        <v>47242.16</v>
      </c>
      <c r="D36" s="21">
        <v>144587</v>
      </c>
    </row>
    <row r="37" spans="2:4" outlineLevel="2">
      <c r="B37" s="24" t="s">
        <v>25</v>
      </c>
      <c r="C37" s="30">
        <v>47885.47</v>
      </c>
      <c r="D37" s="21">
        <v>152214</v>
      </c>
    </row>
    <row r="38" spans="2:4" outlineLevel="2">
      <c r="B38" s="24" t="s">
        <v>25</v>
      </c>
      <c r="C38" s="30">
        <v>48420.45</v>
      </c>
      <c r="D38" s="21">
        <v>155634</v>
      </c>
    </row>
    <row r="39" spans="2:4" outlineLevel="1">
      <c r="B39" s="177" t="s">
        <v>132</v>
      </c>
      <c r="C39" s="30">
        <f>SUBTOTAL(9,C33:C38)</f>
        <v>192443.3</v>
      </c>
      <c r="D39" s="21"/>
    </row>
    <row r="40" spans="2:4" outlineLevel="2">
      <c r="B40" s="24" t="s">
        <v>26</v>
      </c>
      <c r="C40" s="30">
        <v>11232</v>
      </c>
      <c r="D40" s="21">
        <v>212211</v>
      </c>
    </row>
    <row r="41" spans="2:4" outlineLevel="2">
      <c r="B41" s="24" t="s">
        <v>26</v>
      </c>
      <c r="C41" s="30">
        <v>15254</v>
      </c>
      <c r="D41" s="21">
        <v>985589</v>
      </c>
    </row>
    <row r="42" spans="2:4" outlineLevel="2">
      <c r="B42" s="24" t="s">
        <v>26</v>
      </c>
      <c r="C42" s="30">
        <v>89954</v>
      </c>
      <c r="D42" s="21">
        <v>774444</v>
      </c>
    </row>
    <row r="43" spans="2:4" outlineLevel="2">
      <c r="B43" s="24" t="s">
        <v>26</v>
      </c>
      <c r="C43" s="30">
        <v>78564</v>
      </c>
      <c r="D43" s="21">
        <v>985574</v>
      </c>
    </row>
    <row r="44" spans="2:4" outlineLevel="2">
      <c r="B44" s="24" t="s">
        <v>26</v>
      </c>
      <c r="C44" s="30">
        <v>48963</v>
      </c>
      <c r="D44" s="25">
        <v>896523</v>
      </c>
    </row>
    <row r="45" spans="2:4" outlineLevel="2">
      <c r="B45" s="24" t="s">
        <v>26</v>
      </c>
      <c r="C45" s="30">
        <v>6554</v>
      </c>
      <c r="D45" s="21">
        <v>554121</v>
      </c>
    </row>
    <row r="46" spans="2:4" outlineLevel="2">
      <c r="B46" s="24" t="s">
        <v>26</v>
      </c>
      <c r="C46" s="30">
        <v>2245</v>
      </c>
      <c r="D46" s="21">
        <v>541223</v>
      </c>
    </row>
    <row r="47" spans="2:4" outlineLevel="2">
      <c r="B47" s="24" t="s">
        <v>26</v>
      </c>
      <c r="C47" s="30">
        <v>6552</v>
      </c>
      <c r="D47" s="21">
        <v>411522</v>
      </c>
    </row>
    <row r="48" spans="2:4" outlineLevel="1">
      <c r="B48" s="177" t="s">
        <v>133</v>
      </c>
      <c r="C48" s="30">
        <f>SUBTOTAL(9,C40:C47)</f>
        <v>259318</v>
      </c>
      <c r="D48" s="21"/>
    </row>
    <row r="49" spans="2:4" outlineLevel="2">
      <c r="B49" s="24" t="s">
        <v>27</v>
      </c>
      <c r="C49" s="30">
        <v>2256</v>
      </c>
      <c r="D49" s="21">
        <v>411223</v>
      </c>
    </row>
    <row r="50" spans="2:4" outlineLevel="2">
      <c r="B50" s="24" t="s">
        <v>27</v>
      </c>
      <c r="C50" s="30">
        <v>9874</v>
      </c>
      <c r="D50" s="21">
        <v>411244</v>
      </c>
    </row>
    <row r="51" spans="2:4" outlineLevel="2">
      <c r="B51" s="24" t="s">
        <v>27</v>
      </c>
      <c r="C51" s="30">
        <v>5555</v>
      </c>
      <c r="D51" s="21">
        <v>221412</v>
      </c>
    </row>
    <row r="52" spans="2:4" outlineLevel="2">
      <c r="B52" s="24" t="s">
        <v>27</v>
      </c>
      <c r="C52" s="31">
        <v>22251</v>
      </c>
      <c r="D52" s="23">
        <v>21555</v>
      </c>
    </row>
    <row r="53" spans="2:4" outlineLevel="2">
      <c r="B53" s="24" t="s">
        <v>27</v>
      </c>
      <c r="C53" s="31">
        <v>19852</v>
      </c>
      <c r="D53" s="23">
        <v>15452</v>
      </c>
    </row>
    <row r="54" spans="2:4" outlineLevel="2">
      <c r="B54" s="24" t="s">
        <v>27</v>
      </c>
      <c r="C54" s="31">
        <v>48963</v>
      </c>
      <c r="D54" s="23">
        <v>256314</v>
      </c>
    </row>
    <row r="55" spans="2:4" outlineLevel="2">
      <c r="B55" s="24" t="s">
        <v>27</v>
      </c>
      <c r="C55" s="30">
        <v>14411</v>
      </c>
      <c r="D55" s="21">
        <v>115474</v>
      </c>
    </row>
    <row r="56" spans="2:4" outlineLevel="1">
      <c r="B56" s="177" t="s">
        <v>134</v>
      </c>
      <c r="C56" s="30">
        <f>SUBTOTAL(9,C49:C55)</f>
        <v>123162</v>
      </c>
      <c r="D56" s="21"/>
    </row>
    <row r="57" spans="2:4" outlineLevel="2">
      <c r="B57" s="24" t="s">
        <v>28</v>
      </c>
      <c r="C57" s="30">
        <v>142987</v>
      </c>
      <c r="D57" s="21">
        <v>114212</v>
      </c>
    </row>
    <row r="58" spans="2:4" outlineLevel="2">
      <c r="B58" s="24" t="s">
        <v>28</v>
      </c>
      <c r="C58" s="30">
        <v>52698</v>
      </c>
      <c r="D58" s="21">
        <v>256332</v>
      </c>
    </row>
    <row r="59" spans="2:4" outlineLevel="2">
      <c r="B59" s="24" t="s">
        <v>28</v>
      </c>
      <c r="C59" s="30">
        <v>45678</v>
      </c>
      <c r="D59" s="21">
        <v>215211</v>
      </c>
    </row>
    <row r="60" spans="2:4" outlineLevel="2">
      <c r="B60" s="24" t="s">
        <v>28</v>
      </c>
      <c r="C60" s="30">
        <v>12526</v>
      </c>
      <c r="D60" s="21">
        <v>225148</v>
      </c>
    </row>
    <row r="61" spans="2:4" outlineLevel="2">
      <c r="B61" s="24" t="s">
        <v>28</v>
      </c>
      <c r="C61" s="30">
        <v>23456</v>
      </c>
      <c r="D61" s="21">
        <v>256984</v>
      </c>
    </row>
    <row r="62" spans="2:4" outlineLevel="1">
      <c r="B62" s="177" t="s">
        <v>135</v>
      </c>
      <c r="C62" s="30">
        <f>SUBTOTAL(9,C57:C61)</f>
        <v>277345</v>
      </c>
      <c r="D62" s="21"/>
    </row>
    <row r="63" spans="2:4" outlineLevel="2">
      <c r="B63" s="24" t="s">
        <v>29</v>
      </c>
      <c r="C63" s="30">
        <v>97654</v>
      </c>
      <c r="D63" s="21">
        <v>112154</v>
      </c>
    </row>
    <row r="64" spans="2:4" outlineLevel="2">
      <c r="B64" s="24" t="s">
        <v>29</v>
      </c>
      <c r="C64" s="30">
        <v>56789</v>
      </c>
      <c r="D64" s="21">
        <v>248963</v>
      </c>
    </row>
    <row r="65" spans="2:4" outlineLevel="2">
      <c r="B65" s="24" t="s">
        <v>29</v>
      </c>
      <c r="C65" s="30">
        <v>36987</v>
      </c>
      <c r="D65" s="21">
        <v>256489</v>
      </c>
    </row>
    <row r="66" spans="2:4" outlineLevel="2">
      <c r="B66" s="24" t="s">
        <v>29</v>
      </c>
      <c r="C66" s="30">
        <v>123456</v>
      </c>
      <c r="D66" s="21">
        <v>122536</v>
      </c>
    </row>
    <row r="67" spans="2:4" outlineLevel="2">
      <c r="B67" s="24" t="s">
        <v>29</v>
      </c>
      <c r="C67" s="30">
        <v>25859</v>
      </c>
      <c r="D67" s="21">
        <v>568854</v>
      </c>
    </row>
    <row r="68" spans="2:4" outlineLevel="2">
      <c r="B68" s="24" t="s">
        <v>29</v>
      </c>
      <c r="C68" s="30">
        <v>17896</v>
      </c>
      <c r="D68" s="21">
        <v>556352</v>
      </c>
    </row>
    <row r="69" spans="2:4" outlineLevel="2">
      <c r="B69" s="24" t="s">
        <v>29</v>
      </c>
      <c r="C69" s="30">
        <v>49076</v>
      </c>
      <c r="D69" s="21">
        <v>552854</v>
      </c>
    </row>
    <row r="70" spans="2:4" outlineLevel="2">
      <c r="B70" s="24" t="s">
        <v>29</v>
      </c>
      <c r="C70" s="30">
        <v>28965</v>
      </c>
      <c r="D70" s="21">
        <v>122525</v>
      </c>
    </row>
    <row r="71" spans="2:4" outlineLevel="2">
      <c r="B71" s="24" t="s">
        <v>29</v>
      </c>
      <c r="C71" s="30">
        <v>36985</v>
      </c>
      <c r="D71" s="21">
        <v>241221</v>
      </c>
    </row>
    <row r="72" spans="2:4" outlineLevel="1">
      <c r="B72" s="177" t="s">
        <v>136</v>
      </c>
      <c r="C72" s="30">
        <f>SUBTOTAL(9,C63:C71)</f>
        <v>473667</v>
      </c>
      <c r="D72" s="21"/>
    </row>
    <row r="73" spans="2:4" outlineLevel="2">
      <c r="B73" s="24" t="s">
        <v>30</v>
      </c>
      <c r="C73" s="30">
        <v>45632</v>
      </c>
      <c r="D73" s="21">
        <v>656254</v>
      </c>
    </row>
    <row r="74" spans="2:4" outlineLevel="2">
      <c r="B74" s="24" t="s">
        <v>30</v>
      </c>
      <c r="C74" s="30">
        <v>24896</v>
      </c>
      <c r="D74" s="21">
        <v>654101</v>
      </c>
    </row>
    <row r="75" spans="2:4" outlineLevel="2">
      <c r="B75" s="24" t="s">
        <v>30</v>
      </c>
      <c r="C75" s="30">
        <v>17596</v>
      </c>
      <c r="D75" s="21">
        <v>556652</v>
      </c>
    </row>
    <row r="76" spans="2:4" outlineLevel="2">
      <c r="B76" s="24" t="s">
        <v>30</v>
      </c>
      <c r="C76" s="30">
        <v>5698</v>
      </c>
      <c r="D76" s="21">
        <v>454541</v>
      </c>
    </row>
    <row r="77" spans="2:4" outlineLevel="2">
      <c r="B77" s="24" t="s">
        <v>30</v>
      </c>
      <c r="C77" s="30">
        <v>9865</v>
      </c>
      <c r="D77" s="21">
        <v>322221</v>
      </c>
    </row>
    <row r="78" spans="2:4" outlineLevel="2">
      <c r="B78" s="24" t="s">
        <v>30</v>
      </c>
      <c r="C78" s="30">
        <v>12365</v>
      </c>
      <c r="D78" s="21">
        <v>256544</v>
      </c>
    </row>
    <row r="79" spans="2:4" outlineLevel="2">
      <c r="B79" s="24" t="s">
        <v>30</v>
      </c>
      <c r="C79" s="30">
        <v>12124</v>
      </c>
      <c r="D79" s="21">
        <v>561121</v>
      </c>
    </row>
    <row r="80" spans="2:4" outlineLevel="2">
      <c r="B80" s="24" t="s">
        <v>30</v>
      </c>
      <c r="C80" s="30">
        <v>18965</v>
      </c>
      <c r="D80" s="21">
        <v>574544</v>
      </c>
    </row>
    <row r="81" spans="2:6" outlineLevel="2">
      <c r="B81" s="24" t="s">
        <v>30</v>
      </c>
      <c r="C81" s="30">
        <v>21145</v>
      </c>
      <c r="D81" s="21">
        <v>157445</v>
      </c>
    </row>
    <row r="82" spans="2:6" outlineLevel="1">
      <c r="B82" s="177" t="s">
        <v>137</v>
      </c>
      <c r="C82" s="30">
        <f>SUBTOTAL(9,C73:C81)</f>
        <v>168286</v>
      </c>
      <c r="D82" s="21"/>
    </row>
    <row r="83" spans="2:6" outlineLevel="2">
      <c r="B83" s="24" t="s">
        <v>31</v>
      </c>
      <c r="C83" s="30">
        <v>14545</v>
      </c>
      <c r="D83" s="21">
        <v>111522</v>
      </c>
    </row>
    <row r="84" spans="2:6" outlineLevel="2">
      <c r="B84" s="24" t="s">
        <v>31</v>
      </c>
      <c r="C84" s="30">
        <v>12566</v>
      </c>
      <c r="D84" s="21">
        <v>112235</v>
      </c>
    </row>
    <row r="85" spans="2:6" outlineLevel="2">
      <c r="B85" s="24" t="s">
        <v>31</v>
      </c>
      <c r="C85" s="30">
        <v>17854</v>
      </c>
      <c r="D85" s="21">
        <v>211142</v>
      </c>
      <c r="F85" s="26"/>
    </row>
    <row r="86" spans="2:6" outlineLevel="2">
      <c r="B86" s="24" t="s">
        <v>31</v>
      </c>
      <c r="C86" s="30">
        <v>19325</v>
      </c>
      <c r="D86" s="21">
        <v>211331</v>
      </c>
    </row>
    <row r="87" spans="2:6" outlineLevel="2">
      <c r="B87" s="24" t="s">
        <v>31</v>
      </c>
      <c r="C87" s="30">
        <v>16544</v>
      </c>
      <c r="D87" s="21">
        <v>654122</v>
      </c>
    </row>
    <row r="88" spans="2:6" outlineLevel="2">
      <c r="B88" s="24" t="s">
        <v>31</v>
      </c>
      <c r="C88" s="30">
        <v>25632</v>
      </c>
      <c r="D88" s="21">
        <v>565213</v>
      </c>
    </row>
    <row r="89" spans="2:6" outlineLevel="1">
      <c r="B89" s="177" t="s">
        <v>138</v>
      </c>
      <c r="C89" s="30">
        <f>SUBTOTAL(9,C83:C88)</f>
        <v>106466</v>
      </c>
      <c r="D89" s="21"/>
    </row>
    <row r="90" spans="2:6" outlineLevel="2">
      <c r="B90" s="24" t="s">
        <v>32</v>
      </c>
      <c r="C90" s="30">
        <v>14567</v>
      </c>
      <c r="D90" s="21">
        <v>263589</v>
      </c>
    </row>
    <row r="91" spans="2:6" outlineLevel="2">
      <c r="B91" s="24" t="s">
        <v>32</v>
      </c>
      <c r="C91" s="30">
        <v>38763</v>
      </c>
      <c r="D91" s="21">
        <v>126655</v>
      </c>
    </row>
    <row r="92" spans="2:6" outlineLevel="2">
      <c r="B92" s="24" t="s">
        <v>32</v>
      </c>
      <c r="C92" s="30">
        <v>14552</v>
      </c>
      <c r="D92" s="25">
        <v>122636</v>
      </c>
    </row>
    <row r="93" spans="2:6" outlineLevel="2">
      <c r="B93" s="24" t="s">
        <v>32</v>
      </c>
      <c r="C93" s="30">
        <v>34567</v>
      </c>
      <c r="D93" s="25">
        <v>156636</v>
      </c>
    </row>
    <row r="94" spans="2:6" outlineLevel="2">
      <c r="B94" s="24" t="s">
        <v>32</v>
      </c>
      <c r="C94" s="30">
        <v>76889</v>
      </c>
      <c r="D94" s="21">
        <v>141252</v>
      </c>
    </row>
    <row r="95" spans="2:6" outlineLevel="2">
      <c r="B95" s="24" t="s">
        <v>32</v>
      </c>
      <c r="C95" s="30">
        <v>34324</v>
      </c>
      <c r="D95" s="21">
        <v>225412</v>
      </c>
    </row>
    <row r="96" spans="2:6" outlineLevel="2">
      <c r="B96" s="24" t="s">
        <v>32</v>
      </c>
      <c r="C96" s="30">
        <v>19976</v>
      </c>
      <c r="D96" s="21">
        <v>365212</v>
      </c>
    </row>
    <row r="97" spans="2:4" outlineLevel="1">
      <c r="B97" s="177" t="s">
        <v>139</v>
      </c>
      <c r="C97" s="30">
        <f>SUBTOTAL(9,C90:C96)</f>
        <v>233638</v>
      </c>
      <c r="D97" s="21"/>
    </row>
    <row r="98" spans="2:4" outlineLevel="2">
      <c r="B98" s="24" t="s">
        <v>33</v>
      </c>
      <c r="C98" s="30">
        <v>115567</v>
      </c>
      <c r="D98" s="21">
        <v>114522</v>
      </c>
    </row>
    <row r="99" spans="2:4" outlineLevel="2">
      <c r="B99" s="24" t="s">
        <v>33</v>
      </c>
      <c r="C99" s="30">
        <v>98756</v>
      </c>
      <c r="D99" s="21">
        <v>655654</v>
      </c>
    </row>
    <row r="100" spans="2:4" outlineLevel="2">
      <c r="B100" s="24" t="s">
        <v>33</v>
      </c>
      <c r="C100" s="30">
        <v>56789</v>
      </c>
      <c r="D100" s="21">
        <v>112554</v>
      </c>
    </row>
    <row r="101" spans="2:4" outlineLevel="2">
      <c r="B101" s="24" t="s">
        <v>33</v>
      </c>
      <c r="C101" s="30">
        <v>65456</v>
      </c>
      <c r="D101" s="21">
        <v>663541</v>
      </c>
    </row>
    <row r="102" spans="2:4" outlineLevel="2">
      <c r="B102" s="24" t="s">
        <v>33</v>
      </c>
      <c r="C102" s="30">
        <v>36789</v>
      </c>
      <c r="D102" s="21">
        <v>211122</v>
      </c>
    </row>
    <row r="103" spans="2:4" outlineLevel="2">
      <c r="B103" s="24" t="s">
        <v>33</v>
      </c>
      <c r="C103" s="30">
        <v>65467</v>
      </c>
      <c r="D103" s="21">
        <v>226541</v>
      </c>
    </row>
    <row r="104" spans="2:4" outlineLevel="2">
      <c r="B104" s="24" t="s">
        <v>33</v>
      </c>
      <c r="C104" s="30">
        <v>23456</v>
      </c>
      <c r="D104" s="21">
        <v>541141</v>
      </c>
    </row>
    <row r="105" spans="2:4" outlineLevel="2">
      <c r="B105" s="24" t="s">
        <v>33</v>
      </c>
      <c r="C105" s="30">
        <v>54322</v>
      </c>
      <c r="D105" s="21">
        <v>522151</v>
      </c>
    </row>
    <row r="106" spans="2:4" outlineLevel="1">
      <c r="B106" s="177" t="s">
        <v>140</v>
      </c>
      <c r="C106" s="30">
        <f>SUBTOTAL(9,C98:C105)</f>
        <v>516602</v>
      </c>
      <c r="D106" s="21"/>
    </row>
    <row r="107" spans="2:4" outlineLevel="2">
      <c r="B107" s="24" t="s">
        <v>34</v>
      </c>
      <c r="C107" s="30">
        <v>14585</v>
      </c>
      <c r="D107" s="25">
        <v>511152</v>
      </c>
    </row>
    <row r="108" spans="2:4" outlineLevel="2">
      <c r="B108" s="24" t="s">
        <v>34</v>
      </c>
      <c r="C108" s="30">
        <v>9876</v>
      </c>
      <c r="D108" s="25">
        <v>656252</v>
      </c>
    </row>
    <row r="109" spans="2:4" outlineLevel="2">
      <c r="B109" s="24" t="s">
        <v>34</v>
      </c>
      <c r="C109" s="30">
        <v>6754</v>
      </c>
      <c r="D109" s="25">
        <v>422112</v>
      </c>
    </row>
    <row r="110" spans="2:4" outlineLevel="2">
      <c r="B110" s="24" t="s">
        <v>34</v>
      </c>
      <c r="C110" s="30">
        <v>3456</v>
      </c>
      <c r="D110" s="21">
        <v>212221</v>
      </c>
    </row>
    <row r="111" spans="2:4" outlineLevel="1">
      <c r="B111" s="177" t="s">
        <v>141</v>
      </c>
      <c r="C111" s="30">
        <f>SUBTOTAL(9,C107:C110)</f>
        <v>34671</v>
      </c>
      <c r="D111" s="21"/>
    </row>
    <row r="112" spans="2:4" outlineLevel="2">
      <c r="B112" s="24" t="s">
        <v>39</v>
      </c>
      <c r="C112" s="30">
        <v>45678</v>
      </c>
      <c r="D112" s="21">
        <v>332211</v>
      </c>
    </row>
    <row r="113" spans="2:4" outlineLevel="2">
      <c r="B113" s="24" t="s">
        <v>39</v>
      </c>
      <c r="C113" s="30">
        <v>32456</v>
      </c>
      <c r="D113" s="21">
        <v>445643</v>
      </c>
    </row>
    <row r="114" spans="2:4" outlineLevel="2">
      <c r="B114" s="24" t="s">
        <v>39</v>
      </c>
      <c r="C114" s="30">
        <v>12347</v>
      </c>
      <c r="D114" s="21">
        <v>754455</v>
      </c>
    </row>
    <row r="115" spans="2:4" outlineLevel="2">
      <c r="B115" s="24" t="s">
        <v>39</v>
      </c>
      <c r="C115" s="30">
        <v>97900</v>
      </c>
      <c r="D115" s="21">
        <v>654766</v>
      </c>
    </row>
    <row r="116" spans="2:4" outlineLevel="2">
      <c r="B116" s="24" t="s">
        <v>39</v>
      </c>
      <c r="C116" s="30">
        <v>13456</v>
      </c>
      <c r="D116" s="21">
        <v>768543</v>
      </c>
    </row>
    <row r="117" spans="2:4" outlineLevel="2">
      <c r="B117" s="24" t="s">
        <v>39</v>
      </c>
      <c r="C117" s="30">
        <v>78954</v>
      </c>
      <c r="D117" s="21">
        <v>343456</v>
      </c>
    </row>
    <row r="118" spans="2:4" outlineLevel="1">
      <c r="B118" s="177" t="s">
        <v>142</v>
      </c>
      <c r="C118" s="30">
        <f>SUBTOTAL(9,C112:C117)</f>
        <v>280791</v>
      </c>
      <c r="D118" s="21"/>
    </row>
    <row r="119" spans="2:4" outlineLevel="2">
      <c r="B119" s="24" t="s">
        <v>35</v>
      </c>
      <c r="C119" s="30">
        <v>16789</v>
      </c>
      <c r="D119" s="21">
        <v>552111</v>
      </c>
    </row>
    <row r="120" spans="2:4" outlineLevel="2">
      <c r="B120" s="24" t="s">
        <v>35</v>
      </c>
      <c r="C120" s="30">
        <v>56789</v>
      </c>
      <c r="D120" s="21">
        <v>256332</v>
      </c>
    </row>
    <row r="121" spans="2:4" outlineLevel="2">
      <c r="B121" s="24" t="s">
        <v>35</v>
      </c>
      <c r="C121" s="30">
        <v>23456</v>
      </c>
      <c r="D121" s="21">
        <v>554232</v>
      </c>
    </row>
    <row r="122" spans="2:4" outlineLevel="2">
      <c r="B122" s="24" t="s">
        <v>35</v>
      </c>
      <c r="C122" s="30">
        <v>65432</v>
      </c>
      <c r="D122" s="21">
        <v>455524</v>
      </c>
    </row>
    <row r="123" spans="2:4" outlineLevel="2">
      <c r="B123" s="24" t="s">
        <v>35</v>
      </c>
      <c r="C123" s="30">
        <v>21234</v>
      </c>
      <c r="D123" s="21">
        <v>556321</v>
      </c>
    </row>
    <row r="124" spans="2:4" outlineLevel="2">
      <c r="B124" s="24" t="s">
        <v>35</v>
      </c>
      <c r="C124" s="30">
        <v>11224</v>
      </c>
      <c r="D124" s="21">
        <v>541255</v>
      </c>
    </row>
    <row r="125" spans="2:4" outlineLevel="1">
      <c r="B125" s="177" t="s">
        <v>143</v>
      </c>
      <c r="C125" s="30">
        <f>SUBTOTAL(9,C119:C124)</f>
        <v>194924</v>
      </c>
      <c r="D125" s="21"/>
    </row>
    <row r="126" spans="2:4" outlineLevel="2">
      <c r="B126" s="24" t="s">
        <v>36</v>
      </c>
      <c r="C126" s="30">
        <v>17525</v>
      </c>
      <c r="D126" s="21">
        <v>526321</v>
      </c>
    </row>
    <row r="127" spans="2:4" outlineLevel="2">
      <c r="B127" s="24" t="s">
        <v>36</v>
      </c>
      <c r="C127" s="30">
        <v>25983</v>
      </c>
      <c r="D127" s="21">
        <v>565121</v>
      </c>
    </row>
    <row r="128" spans="2:4" outlineLevel="2">
      <c r="B128" s="24" t="s">
        <v>36</v>
      </c>
      <c r="C128" s="30">
        <v>56662</v>
      </c>
      <c r="D128" s="21">
        <v>231566</v>
      </c>
    </row>
    <row r="129" spans="2:4" outlineLevel="2">
      <c r="B129" s="24" t="s">
        <v>36</v>
      </c>
      <c r="C129" s="30">
        <v>66523</v>
      </c>
      <c r="D129" s="21">
        <v>366544</v>
      </c>
    </row>
    <row r="130" spans="2:4" outlineLevel="2">
      <c r="B130" s="24" t="s">
        <v>36</v>
      </c>
      <c r="C130" s="30">
        <v>89652</v>
      </c>
      <c r="D130" s="21">
        <v>662354</v>
      </c>
    </row>
    <row r="131" spans="2:4" outlineLevel="2">
      <c r="B131" s="24" t="s">
        <v>36</v>
      </c>
      <c r="C131" s="30">
        <v>23365</v>
      </c>
      <c r="D131" s="21">
        <v>665522</v>
      </c>
    </row>
    <row r="132" spans="2:4" outlineLevel="2">
      <c r="B132" s="24" t="s">
        <v>36</v>
      </c>
      <c r="C132" s="30">
        <v>36985</v>
      </c>
      <c r="D132" s="25">
        <v>668523</v>
      </c>
    </row>
    <row r="133" spans="2:4" outlineLevel="2">
      <c r="B133" s="24" t="s">
        <v>36</v>
      </c>
      <c r="C133" s="30">
        <v>56635</v>
      </c>
      <c r="D133" s="21">
        <v>555441</v>
      </c>
    </row>
    <row r="134" spans="2:4" outlineLevel="1">
      <c r="B134" s="177" t="s">
        <v>144</v>
      </c>
      <c r="C134" s="30">
        <f>SUBTOTAL(9,C126:C133)</f>
        <v>373330</v>
      </c>
      <c r="D134" s="21"/>
    </row>
    <row r="135" spans="2:4" outlineLevel="2">
      <c r="B135" s="24" t="s">
        <v>37</v>
      </c>
      <c r="C135" s="30">
        <v>113456</v>
      </c>
      <c r="D135" s="21">
        <v>122000</v>
      </c>
    </row>
    <row r="136" spans="2:4" outlineLevel="2">
      <c r="B136" s="24" t="s">
        <v>37</v>
      </c>
      <c r="C136" s="30">
        <v>97654</v>
      </c>
      <c r="D136" s="21">
        <v>454545</v>
      </c>
    </row>
    <row r="137" spans="2:4" outlineLevel="2">
      <c r="B137" s="24" t="s">
        <v>37</v>
      </c>
      <c r="C137" s="30">
        <v>22234</v>
      </c>
      <c r="D137" s="21">
        <v>565544</v>
      </c>
    </row>
    <row r="138" spans="2:4" outlineLevel="2">
      <c r="B138" s="24" t="s">
        <v>37</v>
      </c>
      <c r="C138" s="30">
        <v>33456</v>
      </c>
      <c r="D138" s="21">
        <v>556441</v>
      </c>
    </row>
    <row r="139" spans="2:4" outlineLevel="2">
      <c r="B139" s="24" t="s">
        <v>37</v>
      </c>
      <c r="C139" s="30">
        <v>35872</v>
      </c>
      <c r="D139" s="21">
        <v>556544</v>
      </c>
    </row>
    <row r="140" spans="2:4" outlineLevel="2">
      <c r="B140" s="24" t="s">
        <v>37</v>
      </c>
      <c r="C140" s="30">
        <v>25893</v>
      </c>
      <c r="D140" s="21">
        <v>122533</v>
      </c>
    </row>
    <row r="141" spans="2:4" ht="15.75" outlineLevel="2" thickBot="1">
      <c r="B141" s="27" t="s">
        <v>37</v>
      </c>
      <c r="C141" s="32">
        <v>65891</v>
      </c>
      <c r="D141" s="28">
        <v>125221</v>
      </c>
    </row>
    <row r="142" spans="2:4" outlineLevel="1">
      <c r="B142" s="180" t="s">
        <v>145</v>
      </c>
      <c r="C142" s="178">
        <f>SUBTOTAL(9,C135:C141)</f>
        <v>394456</v>
      </c>
      <c r="D142" s="179"/>
    </row>
    <row r="143" spans="2:4">
      <c r="B143" s="180" t="s">
        <v>146</v>
      </c>
      <c r="C143" s="178">
        <f>SUBTOTAL(9,C11:C141)</f>
        <v>4115174.3</v>
      </c>
      <c r="D143" s="179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N125"/>
  <sheetViews>
    <sheetView showGridLines="0" workbookViewId="0">
      <selection activeCell="F32" sqref="F32"/>
    </sheetView>
  </sheetViews>
  <sheetFormatPr defaultRowHeight="15"/>
  <cols>
    <col min="1" max="1" width="3.7109375" customWidth="1"/>
    <col min="2" max="3" width="22" customWidth="1"/>
    <col min="4" max="4" width="19.140625" customWidth="1"/>
    <col min="6" max="6" width="25.28515625" customWidth="1"/>
    <col min="7" max="7" width="21.85546875" customWidth="1"/>
  </cols>
  <sheetData>
    <row r="1" spans="2:14" ht="11.25" customHeight="1"/>
    <row r="3" spans="2:14">
      <c r="F3" s="33" t="s">
        <v>108</v>
      </c>
    </row>
    <row r="4" spans="2:14">
      <c r="F4" s="33" t="s">
        <v>107</v>
      </c>
    </row>
    <row r="6" spans="2:14">
      <c r="N6" s="56"/>
    </row>
    <row r="7" spans="2:14" ht="15.75" thickBot="1"/>
    <row r="8" spans="2:14" ht="16.5" thickBot="1">
      <c r="B8" s="170" t="s">
        <v>111</v>
      </c>
      <c r="C8" s="171"/>
      <c r="D8" s="172"/>
      <c r="F8" s="170" t="s">
        <v>40</v>
      </c>
      <c r="G8" s="172"/>
    </row>
    <row r="9" spans="2:14" ht="8.25" customHeight="1" thickBot="1">
      <c r="D9" s="17"/>
      <c r="G9" s="17"/>
    </row>
    <row r="10" spans="2:14" ht="15.75" thickBot="1">
      <c r="B10" s="75" t="s">
        <v>20</v>
      </c>
      <c r="C10" s="75" t="s">
        <v>38</v>
      </c>
      <c r="D10" s="76" t="s">
        <v>21</v>
      </c>
      <c r="F10" s="77" t="s">
        <v>20</v>
      </c>
      <c r="G10" s="78" t="s">
        <v>106</v>
      </c>
    </row>
    <row r="11" spans="2:14">
      <c r="B11" s="19" t="s">
        <v>22</v>
      </c>
      <c r="C11" s="20">
        <v>565544</v>
      </c>
      <c r="D11" s="29">
        <v>34856</v>
      </c>
      <c r="F11" s="185" t="s">
        <v>22</v>
      </c>
      <c r="G11" s="181">
        <v>5</v>
      </c>
      <c r="H11" s="79"/>
    </row>
    <row r="12" spans="2:14">
      <c r="B12" s="19" t="s">
        <v>22</v>
      </c>
      <c r="C12" s="21">
        <v>45214</v>
      </c>
      <c r="D12" s="30">
        <v>25221</v>
      </c>
      <c r="F12" s="186" t="s">
        <v>23</v>
      </c>
      <c r="G12" s="182">
        <v>8</v>
      </c>
      <c r="H12" s="79"/>
    </row>
    <row r="13" spans="2:14">
      <c r="B13" s="19" t="s">
        <v>22</v>
      </c>
      <c r="C13" s="21">
        <v>225663</v>
      </c>
      <c r="D13" s="30">
        <v>9857</v>
      </c>
      <c r="F13" s="186" t="s">
        <v>24</v>
      </c>
      <c r="G13" s="182">
        <v>6</v>
      </c>
      <c r="H13" s="79"/>
    </row>
    <row r="14" spans="2:14">
      <c r="B14" s="19" t="s">
        <v>22</v>
      </c>
      <c r="C14" s="21">
        <v>253654</v>
      </c>
      <c r="D14" s="30">
        <v>22336</v>
      </c>
      <c r="F14" s="186" t="s">
        <v>25</v>
      </c>
      <c r="G14" s="182">
        <v>6</v>
      </c>
      <c r="H14" s="79"/>
    </row>
    <row r="15" spans="2:14">
      <c r="B15" s="19" t="s">
        <v>22</v>
      </c>
      <c r="C15" s="21">
        <v>896542</v>
      </c>
      <c r="D15" s="30">
        <v>9587</v>
      </c>
      <c r="F15" s="186" t="s">
        <v>26</v>
      </c>
      <c r="G15" s="182">
        <v>8</v>
      </c>
      <c r="H15" s="79"/>
    </row>
    <row r="16" spans="2:14">
      <c r="B16" s="22" t="s">
        <v>23</v>
      </c>
      <c r="C16" s="23">
        <v>12544</v>
      </c>
      <c r="D16" s="31">
        <v>9852</v>
      </c>
      <c r="F16" s="187" t="s">
        <v>27</v>
      </c>
      <c r="G16" s="183">
        <v>7</v>
      </c>
      <c r="H16" s="79"/>
    </row>
    <row r="17" spans="2:8">
      <c r="B17" s="22" t="s">
        <v>23</v>
      </c>
      <c r="C17" s="23">
        <v>25413</v>
      </c>
      <c r="D17" s="31">
        <v>11125</v>
      </c>
      <c r="F17" s="187" t="s">
        <v>28</v>
      </c>
      <c r="G17" s="183">
        <v>5</v>
      </c>
      <c r="H17" s="79"/>
    </row>
    <row r="18" spans="2:8">
      <c r="B18" s="22" t="s">
        <v>23</v>
      </c>
      <c r="C18" s="21">
        <v>44474</v>
      </c>
      <c r="D18" s="30">
        <v>32556</v>
      </c>
      <c r="F18" s="187" t="s">
        <v>29</v>
      </c>
      <c r="G18" s="182">
        <v>9</v>
      </c>
      <c r="H18" s="79"/>
    </row>
    <row r="19" spans="2:8">
      <c r="B19" s="22" t="s">
        <v>23</v>
      </c>
      <c r="C19" s="21">
        <v>142122</v>
      </c>
      <c r="D19" s="30">
        <v>45201</v>
      </c>
      <c r="F19" s="187" t="s">
        <v>30</v>
      </c>
      <c r="G19" s="182">
        <v>9</v>
      </c>
      <c r="H19" s="79"/>
    </row>
    <row r="20" spans="2:8">
      <c r="B20" s="22" t="s">
        <v>23</v>
      </c>
      <c r="C20" s="21">
        <v>112253</v>
      </c>
      <c r="D20" s="30">
        <v>36982</v>
      </c>
      <c r="F20" s="187" t="s">
        <v>31</v>
      </c>
      <c r="G20" s="182">
        <v>6</v>
      </c>
      <c r="H20" s="79"/>
    </row>
    <row r="21" spans="2:8">
      <c r="B21" s="22" t="s">
        <v>23</v>
      </c>
      <c r="C21" s="21">
        <v>121217</v>
      </c>
      <c r="D21" s="30">
        <v>41145</v>
      </c>
      <c r="F21" s="187" t="s">
        <v>32</v>
      </c>
      <c r="G21" s="182">
        <v>7</v>
      </c>
      <c r="H21" s="79"/>
    </row>
    <row r="22" spans="2:8">
      <c r="B22" s="22" t="s">
        <v>23</v>
      </c>
      <c r="C22" s="21">
        <v>655554</v>
      </c>
      <c r="D22" s="30">
        <v>56632</v>
      </c>
      <c r="F22" s="187" t="s">
        <v>33</v>
      </c>
      <c r="G22" s="182">
        <v>8</v>
      </c>
      <c r="H22" s="79"/>
    </row>
    <row r="23" spans="2:8">
      <c r="B23" s="22" t="s">
        <v>23</v>
      </c>
      <c r="C23" s="21">
        <v>561221</v>
      </c>
      <c r="D23" s="30">
        <v>41212</v>
      </c>
      <c r="F23" s="187" t="s">
        <v>34</v>
      </c>
      <c r="G23" s="184">
        <v>4</v>
      </c>
    </row>
    <row r="24" spans="2:8">
      <c r="B24" s="24" t="s">
        <v>24</v>
      </c>
      <c r="C24" s="21">
        <v>121112</v>
      </c>
      <c r="D24" s="30">
        <v>19857</v>
      </c>
      <c r="F24" s="188" t="s">
        <v>39</v>
      </c>
      <c r="G24" s="189">
        <v>6</v>
      </c>
      <c r="H24" s="79"/>
    </row>
    <row r="25" spans="2:8">
      <c r="B25" s="24" t="s">
        <v>24</v>
      </c>
      <c r="C25" s="21">
        <v>554112</v>
      </c>
      <c r="D25" s="30">
        <v>11741</v>
      </c>
      <c r="F25" s="188" t="s">
        <v>35</v>
      </c>
      <c r="G25" s="189">
        <v>6</v>
      </c>
      <c r="H25" s="79"/>
    </row>
    <row r="26" spans="2:8">
      <c r="B26" s="24" t="s">
        <v>24</v>
      </c>
      <c r="C26" s="21">
        <v>185477</v>
      </c>
      <c r="D26" s="30">
        <v>22123</v>
      </c>
      <c r="F26" s="188" t="s">
        <v>36</v>
      </c>
      <c r="G26" s="189">
        <v>8</v>
      </c>
      <c r="H26" s="79"/>
    </row>
    <row r="27" spans="2:8" ht="15.75" thickBot="1">
      <c r="B27" s="24" t="s">
        <v>24</v>
      </c>
      <c r="C27" s="21">
        <v>211456</v>
      </c>
      <c r="D27" s="30">
        <v>12365</v>
      </c>
      <c r="F27" s="190" t="s">
        <v>37</v>
      </c>
      <c r="G27" s="191">
        <v>7</v>
      </c>
      <c r="H27" s="79"/>
    </row>
    <row r="28" spans="2:8">
      <c r="B28" s="24" t="s">
        <v>24</v>
      </c>
      <c r="C28" s="21">
        <v>121221</v>
      </c>
      <c r="D28" s="30">
        <v>6442</v>
      </c>
    </row>
    <row r="29" spans="2:8">
      <c r="B29" s="24" t="s">
        <v>24</v>
      </c>
      <c r="C29" s="21">
        <v>653222</v>
      </c>
      <c r="D29" s="30">
        <v>36985</v>
      </c>
    </row>
    <row r="30" spans="2:8">
      <c r="B30" s="24" t="s">
        <v>25</v>
      </c>
      <c r="C30" s="21">
        <v>363512</v>
      </c>
      <c r="D30" s="30">
        <v>1256</v>
      </c>
    </row>
    <row r="31" spans="2:8">
      <c r="B31" s="24" t="s">
        <v>25</v>
      </c>
      <c r="C31" s="21">
        <v>633221</v>
      </c>
      <c r="D31" s="30">
        <v>985</v>
      </c>
    </row>
    <row r="32" spans="2:8">
      <c r="B32" s="24" t="s">
        <v>25</v>
      </c>
      <c r="C32" s="21">
        <v>545445</v>
      </c>
      <c r="D32" s="30">
        <v>46654.22</v>
      </c>
    </row>
    <row r="33" spans="2:4">
      <c r="B33" s="24" t="s">
        <v>25</v>
      </c>
      <c r="C33" s="21">
        <v>144587</v>
      </c>
      <c r="D33" s="30">
        <v>47242.16</v>
      </c>
    </row>
    <row r="34" spans="2:4">
      <c r="B34" s="24" t="s">
        <v>25</v>
      </c>
      <c r="C34" s="21">
        <v>152214</v>
      </c>
      <c r="D34" s="30">
        <v>47885.47</v>
      </c>
    </row>
    <row r="35" spans="2:4">
      <c r="B35" s="24" t="s">
        <v>25</v>
      </c>
      <c r="C35" s="21">
        <v>155634</v>
      </c>
      <c r="D35" s="30">
        <v>48420.45</v>
      </c>
    </row>
    <row r="36" spans="2:4">
      <c r="B36" s="24" t="s">
        <v>26</v>
      </c>
      <c r="C36" s="21">
        <v>212211</v>
      </c>
      <c r="D36" s="30">
        <v>11232</v>
      </c>
    </row>
    <row r="37" spans="2:4">
      <c r="B37" s="24" t="s">
        <v>26</v>
      </c>
      <c r="C37" s="21">
        <v>985589</v>
      </c>
      <c r="D37" s="30">
        <v>15254</v>
      </c>
    </row>
    <row r="38" spans="2:4">
      <c r="B38" s="24" t="s">
        <v>26</v>
      </c>
      <c r="C38" s="21">
        <v>774444</v>
      </c>
      <c r="D38" s="30">
        <v>89954</v>
      </c>
    </row>
    <row r="39" spans="2:4">
      <c r="B39" s="24" t="s">
        <v>26</v>
      </c>
      <c r="C39" s="21">
        <v>985574</v>
      </c>
      <c r="D39" s="30">
        <v>78564</v>
      </c>
    </row>
    <row r="40" spans="2:4">
      <c r="B40" s="24" t="s">
        <v>26</v>
      </c>
      <c r="C40" s="25">
        <v>896523</v>
      </c>
      <c r="D40" s="30">
        <v>48963</v>
      </c>
    </row>
    <row r="41" spans="2:4">
      <c r="B41" s="24" t="s">
        <v>26</v>
      </c>
      <c r="C41" s="21">
        <v>554121</v>
      </c>
      <c r="D41" s="30">
        <v>6554</v>
      </c>
    </row>
    <row r="42" spans="2:4">
      <c r="B42" s="24" t="s">
        <v>26</v>
      </c>
      <c r="C42" s="21">
        <v>541223</v>
      </c>
      <c r="D42" s="30">
        <v>2245</v>
      </c>
    </row>
    <row r="43" spans="2:4">
      <c r="B43" s="24" t="s">
        <v>26</v>
      </c>
      <c r="C43" s="21">
        <v>411522</v>
      </c>
      <c r="D43" s="30">
        <v>6552</v>
      </c>
    </row>
    <row r="44" spans="2:4">
      <c r="B44" s="24" t="s">
        <v>27</v>
      </c>
      <c r="C44" s="21">
        <v>411223</v>
      </c>
      <c r="D44" s="30">
        <v>2256</v>
      </c>
    </row>
    <row r="45" spans="2:4">
      <c r="B45" s="24" t="s">
        <v>27</v>
      </c>
      <c r="C45" s="21">
        <v>411244</v>
      </c>
      <c r="D45" s="30">
        <v>9874</v>
      </c>
    </row>
    <row r="46" spans="2:4">
      <c r="B46" s="24" t="s">
        <v>27</v>
      </c>
      <c r="C46" s="21">
        <v>221412</v>
      </c>
      <c r="D46" s="30">
        <v>5555</v>
      </c>
    </row>
    <row r="47" spans="2:4">
      <c r="B47" s="24" t="s">
        <v>27</v>
      </c>
      <c r="C47" s="23">
        <v>21555</v>
      </c>
      <c r="D47" s="31">
        <v>22251</v>
      </c>
    </row>
    <row r="48" spans="2:4">
      <c r="B48" s="24" t="s">
        <v>27</v>
      </c>
      <c r="C48" s="23">
        <v>15452</v>
      </c>
      <c r="D48" s="31">
        <v>19852</v>
      </c>
    </row>
    <row r="49" spans="2:4">
      <c r="B49" s="24" t="s">
        <v>27</v>
      </c>
      <c r="C49" s="23">
        <v>256314</v>
      </c>
      <c r="D49" s="31">
        <v>48963</v>
      </c>
    </row>
    <row r="50" spans="2:4">
      <c r="B50" s="24" t="s">
        <v>27</v>
      </c>
      <c r="C50" s="21">
        <v>115474</v>
      </c>
      <c r="D50" s="30">
        <v>14411</v>
      </c>
    </row>
    <row r="51" spans="2:4">
      <c r="B51" s="24" t="s">
        <v>28</v>
      </c>
      <c r="C51" s="21">
        <v>114212</v>
      </c>
      <c r="D51" s="30">
        <v>142987</v>
      </c>
    </row>
    <row r="52" spans="2:4">
      <c r="B52" s="24" t="s">
        <v>28</v>
      </c>
      <c r="C52" s="21">
        <v>256332</v>
      </c>
      <c r="D52" s="30">
        <v>52698</v>
      </c>
    </row>
    <row r="53" spans="2:4">
      <c r="B53" s="24" t="s">
        <v>28</v>
      </c>
      <c r="C53" s="21">
        <v>215211</v>
      </c>
      <c r="D53" s="30">
        <v>45678</v>
      </c>
    </row>
    <row r="54" spans="2:4">
      <c r="B54" s="24" t="s">
        <v>28</v>
      </c>
      <c r="C54" s="21">
        <v>225148</v>
      </c>
      <c r="D54" s="30">
        <v>12526</v>
      </c>
    </row>
    <row r="55" spans="2:4">
      <c r="B55" s="24" t="s">
        <v>28</v>
      </c>
      <c r="C55" s="21">
        <v>256984</v>
      </c>
      <c r="D55" s="30">
        <v>23456</v>
      </c>
    </row>
    <row r="56" spans="2:4">
      <c r="B56" s="24" t="s">
        <v>29</v>
      </c>
      <c r="C56" s="21">
        <v>112154</v>
      </c>
      <c r="D56" s="30">
        <v>97654</v>
      </c>
    </row>
    <row r="57" spans="2:4">
      <c r="B57" s="24" t="s">
        <v>29</v>
      </c>
      <c r="C57" s="21">
        <v>248963</v>
      </c>
      <c r="D57" s="30">
        <v>56789</v>
      </c>
    </row>
    <row r="58" spans="2:4">
      <c r="B58" s="24" t="s">
        <v>29</v>
      </c>
      <c r="C58" s="21">
        <v>256489</v>
      </c>
      <c r="D58" s="30">
        <v>36987</v>
      </c>
    </row>
    <row r="59" spans="2:4">
      <c r="B59" s="24" t="s">
        <v>29</v>
      </c>
      <c r="C59" s="21">
        <v>122536</v>
      </c>
      <c r="D59" s="30">
        <v>123456</v>
      </c>
    </row>
    <row r="60" spans="2:4">
      <c r="B60" s="24" t="s">
        <v>29</v>
      </c>
      <c r="C60" s="21">
        <v>568854</v>
      </c>
      <c r="D60" s="30">
        <v>25859</v>
      </c>
    </row>
    <row r="61" spans="2:4">
      <c r="B61" s="24" t="s">
        <v>29</v>
      </c>
      <c r="C61" s="21">
        <v>556352</v>
      </c>
      <c r="D61" s="30">
        <v>17896</v>
      </c>
    </row>
    <row r="62" spans="2:4">
      <c r="B62" s="24" t="s">
        <v>29</v>
      </c>
      <c r="C62" s="21">
        <v>552854</v>
      </c>
      <c r="D62" s="30">
        <v>49076</v>
      </c>
    </row>
    <row r="63" spans="2:4">
      <c r="B63" s="24" t="s">
        <v>29</v>
      </c>
      <c r="C63" s="21">
        <v>122525</v>
      </c>
      <c r="D63" s="30">
        <v>28965</v>
      </c>
    </row>
    <row r="64" spans="2:4">
      <c r="B64" s="24" t="s">
        <v>29</v>
      </c>
      <c r="C64" s="21">
        <v>241221</v>
      </c>
      <c r="D64" s="30">
        <v>36985</v>
      </c>
    </row>
    <row r="65" spans="2:4">
      <c r="B65" s="24" t="s">
        <v>30</v>
      </c>
      <c r="C65" s="21">
        <v>656254</v>
      </c>
      <c r="D65" s="30">
        <v>45632</v>
      </c>
    </row>
    <row r="66" spans="2:4">
      <c r="B66" s="24" t="s">
        <v>30</v>
      </c>
      <c r="C66" s="21">
        <v>654101</v>
      </c>
      <c r="D66" s="30">
        <v>24896</v>
      </c>
    </row>
    <row r="67" spans="2:4">
      <c r="B67" s="24" t="s">
        <v>30</v>
      </c>
      <c r="C67" s="21">
        <v>556652</v>
      </c>
      <c r="D67" s="30">
        <v>17596</v>
      </c>
    </row>
    <row r="68" spans="2:4">
      <c r="B68" s="24" t="s">
        <v>30</v>
      </c>
      <c r="C68" s="21">
        <v>454541</v>
      </c>
      <c r="D68" s="30">
        <v>5698</v>
      </c>
    </row>
    <row r="69" spans="2:4">
      <c r="B69" s="24" t="s">
        <v>30</v>
      </c>
      <c r="C69" s="21">
        <v>322221</v>
      </c>
      <c r="D69" s="30">
        <v>9865</v>
      </c>
    </row>
    <row r="70" spans="2:4">
      <c r="B70" s="24" t="s">
        <v>30</v>
      </c>
      <c r="C70" s="21">
        <v>256544</v>
      </c>
      <c r="D70" s="30">
        <v>12365</v>
      </c>
    </row>
    <row r="71" spans="2:4">
      <c r="B71" s="24" t="s">
        <v>30</v>
      </c>
      <c r="C71" s="21">
        <v>561121</v>
      </c>
      <c r="D71" s="30">
        <v>12124</v>
      </c>
    </row>
    <row r="72" spans="2:4">
      <c r="B72" s="24" t="s">
        <v>30</v>
      </c>
      <c r="C72" s="21">
        <v>574544</v>
      </c>
      <c r="D72" s="30">
        <v>18965</v>
      </c>
    </row>
    <row r="73" spans="2:4">
      <c r="B73" s="24" t="s">
        <v>30</v>
      </c>
      <c r="C73" s="21">
        <v>157445</v>
      </c>
      <c r="D73" s="30">
        <v>21145</v>
      </c>
    </row>
    <row r="74" spans="2:4">
      <c r="B74" s="24" t="s">
        <v>31</v>
      </c>
      <c r="C74" s="21">
        <v>111522</v>
      </c>
      <c r="D74" s="30">
        <v>14545</v>
      </c>
    </row>
    <row r="75" spans="2:4">
      <c r="B75" s="24" t="s">
        <v>31</v>
      </c>
      <c r="C75" s="21">
        <v>112235</v>
      </c>
      <c r="D75" s="30">
        <v>12566</v>
      </c>
    </row>
    <row r="76" spans="2:4">
      <c r="B76" s="24" t="s">
        <v>31</v>
      </c>
      <c r="C76" s="21">
        <v>211142</v>
      </c>
      <c r="D76" s="30">
        <v>17854</v>
      </c>
    </row>
    <row r="77" spans="2:4">
      <c r="B77" s="24" t="s">
        <v>31</v>
      </c>
      <c r="C77" s="21">
        <v>211331</v>
      </c>
      <c r="D77" s="30">
        <v>19325</v>
      </c>
    </row>
    <row r="78" spans="2:4">
      <c r="B78" s="24" t="s">
        <v>31</v>
      </c>
      <c r="C78" s="21">
        <v>654122</v>
      </c>
      <c r="D78" s="30">
        <v>16544</v>
      </c>
    </row>
    <row r="79" spans="2:4">
      <c r="B79" s="24" t="s">
        <v>31</v>
      </c>
      <c r="C79" s="21">
        <v>565213</v>
      </c>
      <c r="D79" s="30">
        <v>25632</v>
      </c>
    </row>
    <row r="80" spans="2:4">
      <c r="B80" s="24" t="s">
        <v>32</v>
      </c>
      <c r="C80" s="21">
        <v>263589</v>
      </c>
      <c r="D80" s="30">
        <v>14567</v>
      </c>
    </row>
    <row r="81" spans="2:4">
      <c r="B81" s="24" t="s">
        <v>32</v>
      </c>
      <c r="C81" s="21">
        <v>126655</v>
      </c>
      <c r="D81" s="30">
        <v>38763</v>
      </c>
    </row>
    <row r="82" spans="2:4">
      <c r="B82" s="24" t="s">
        <v>32</v>
      </c>
      <c r="C82" s="25">
        <v>122636</v>
      </c>
      <c r="D82" s="30">
        <v>14552</v>
      </c>
    </row>
    <row r="83" spans="2:4">
      <c r="B83" s="24" t="s">
        <v>32</v>
      </c>
      <c r="C83" s="25">
        <v>156636</v>
      </c>
      <c r="D83" s="30">
        <v>34567</v>
      </c>
    </row>
    <row r="84" spans="2:4">
      <c r="B84" s="24" t="s">
        <v>32</v>
      </c>
      <c r="C84" s="21">
        <v>141252</v>
      </c>
      <c r="D84" s="30">
        <v>76889</v>
      </c>
    </row>
    <row r="85" spans="2:4">
      <c r="B85" s="24" t="s">
        <v>32</v>
      </c>
      <c r="C85" s="21">
        <v>225412</v>
      </c>
      <c r="D85" s="30">
        <v>34324</v>
      </c>
    </row>
    <row r="86" spans="2:4">
      <c r="B86" s="24" t="s">
        <v>32</v>
      </c>
      <c r="C86" s="21">
        <v>365212</v>
      </c>
      <c r="D86" s="30">
        <v>19976</v>
      </c>
    </row>
    <row r="87" spans="2:4">
      <c r="B87" s="24" t="s">
        <v>33</v>
      </c>
      <c r="C87" s="21">
        <v>114522</v>
      </c>
      <c r="D87" s="30">
        <v>115567</v>
      </c>
    </row>
    <row r="88" spans="2:4">
      <c r="B88" s="24" t="s">
        <v>33</v>
      </c>
      <c r="C88" s="21">
        <v>655654</v>
      </c>
      <c r="D88" s="30">
        <v>98756</v>
      </c>
    </row>
    <row r="89" spans="2:4">
      <c r="B89" s="24" t="s">
        <v>33</v>
      </c>
      <c r="C89" s="21">
        <v>112554</v>
      </c>
      <c r="D89" s="30">
        <v>56789</v>
      </c>
    </row>
    <row r="90" spans="2:4">
      <c r="B90" s="24" t="s">
        <v>33</v>
      </c>
      <c r="C90" s="21">
        <v>663541</v>
      </c>
      <c r="D90" s="30">
        <v>65456</v>
      </c>
    </row>
    <row r="91" spans="2:4">
      <c r="B91" s="24" t="s">
        <v>33</v>
      </c>
      <c r="C91" s="21">
        <v>211122</v>
      </c>
      <c r="D91" s="30">
        <v>36789</v>
      </c>
    </row>
    <row r="92" spans="2:4">
      <c r="B92" s="24" t="s">
        <v>33</v>
      </c>
      <c r="C92" s="21">
        <v>226541</v>
      </c>
      <c r="D92" s="30">
        <v>65467</v>
      </c>
    </row>
    <row r="93" spans="2:4">
      <c r="B93" s="24" t="s">
        <v>33</v>
      </c>
      <c r="C93" s="21">
        <v>541141</v>
      </c>
      <c r="D93" s="30">
        <v>23456</v>
      </c>
    </row>
    <row r="94" spans="2:4">
      <c r="B94" s="24" t="s">
        <v>33</v>
      </c>
      <c r="C94" s="21">
        <v>522151</v>
      </c>
      <c r="D94" s="30">
        <v>54322</v>
      </c>
    </row>
    <row r="95" spans="2:4">
      <c r="B95" s="24" t="s">
        <v>34</v>
      </c>
      <c r="C95" s="25">
        <v>511152</v>
      </c>
      <c r="D95" s="30">
        <v>14585</v>
      </c>
    </row>
    <row r="96" spans="2:4">
      <c r="B96" s="24" t="s">
        <v>34</v>
      </c>
      <c r="C96" s="25">
        <v>656252</v>
      </c>
      <c r="D96" s="30">
        <v>9876</v>
      </c>
    </row>
    <row r="97" spans="2:4">
      <c r="B97" s="24" t="s">
        <v>34</v>
      </c>
      <c r="C97" s="25">
        <v>422112</v>
      </c>
      <c r="D97" s="30">
        <v>6754</v>
      </c>
    </row>
    <row r="98" spans="2:4">
      <c r="B98" s="24" t="s">
        <v>34</v>
      </c>
      <c r="C98" s="21">
        <v>212221</v>
      </c>
      <c r="D98" s="30">
        <v>3456</v>
      </c>
    </row>
    <row r="99" spans="2:4">
      <c r="B99" s="24" t="s">
        <v>39</v>
      </c>
      <c r="C99" s="21">
        <v>332211</v>
      </c>
      <c r="D99" s="30">
        <v>45678</v>
      </c>
    </row>
    <row r="100" spans="2:4">
      <c r="B100" s="24" t="s">
        <v>39</v>
      </c>
      <c r="C100" s="21">
        <v>445643</v>
      </c>
      <c r="D100" s="30">
        <v>32456</v>
      </c>
    </row>
    <row r="101" spans="2:4">
      <c r="B101" s="24" t="s">
        <v>39</v>
      </c>
      <c r="C101" s="21">
        <v>754455</v>
      </c>
      <c r="D101" s="30">
        <v>12347</v>
      </c>
    </row>
    <row r="102" spans="2:4">
      <c r="B102" s="24" t="s">
        <v>39</v>
      </c>
      <c r="C102" s="21">
        <v>654766</v>
      </c>
      <c r="D102" s="30">
        <v>97900</v>
      </c>
    </row>
    <row r="103" spans="2:4">
      <c r="B103" s="24" t="s">
        <v>39</v>
      </c>
      <c r="C103" s="21">
        <v>768543</v>
      </c>
      <c r="D103" s="30">
        <v>13456</v>
      </c>
    </row>
    <row r="104" spans="2:4">
      <c r="B104" s="24" t="s">
        <v>39</v>
      </c>
      <c r="C104" s="21">
        <v>343456</v>
      </c>
      <c r="D104" s="30">
        <v>78954</v>
      </c>
    </row>
    <row r="105" spans="2:4">
      <c r="B105" s="24" t="s">
        <v>35</v>
      </c>
      <c r="C105" s="21">
        <v>552111</v>
      </c>
      <c r="D105" s="30">
        <v>16789</v>
      </c>
    </row>
    <row r="106" spans="2:4">
      <c r="B106" s="24" t="s">
        <v>35</v>
      </c>
      <c r="C106" s="21">
        <v>256332</v>
      </c>
      <c r="D106" s="30">
        <v>56789</v>
      </c>
    </row>
    <row r="107" spans="2:4">
      <c r="B107" s="24" t="s">
        <v>35</v>
      </c>
      <c r="C107" s="21">
        <v>554232</v>
      </c>
      <c r="D107" s="30">
        <v>23456</v>
      </c>
    </row>
    <row r="108" spans="2:4">
      <c r="B108" s="24" t="s">
        <v>35</v>
      </c>
      <c r="C108" s="21">
        <v>455524</v>
      </c>
      <c r="D108" s="30">
        <v>65432</v>
      </c>
    </row>
    <row r="109" spans="2:4">
      <c r="B109" s="24" t="s">
        <v>35</v>
      </c>
      <c r="C109" s="21">
        <v>556321</v>
      </c>
      <c r="D109" s="30">
        <v>21234</v>
      </c>
    </row>
    <row r="110" spans="2:4">
      <c r="B110" s="24" t="s">
        <v>35</v>
      </c>
      <c r="C110" s="21">
        <v>541255</v>
      </c>
      <c r="D110" s="30">
        <v>11224</v>
      </c>
    </row>
    <row r="111" spans="2:4">
      <c r="B111" s="24" t="s">
        <v>36</v>
      </c>
      <c r="C111" s="21">
        <v>526321</v>
      </c>
      <c r="D111" s="30">
        <v>17525</v>
      </c>
    </row>
    <row r="112" spans="2:4">
      <c r="B112" s="24" t="s">
        <v>36</v>
      </c>
      <c r="C112" s="21">
        <v>565121</v>
      </c>
      <c r="D112" s="30">
        <v>25983</v>
      </c>
    </row>
    <row r="113" spans="2:4">
      <c r="B113" s="24" t="s">
        <v>36</v>
      </c>
      <c r="C113" s="21">
        <v>231566</v>
      </c>
      <c r="D113" s="30">
        <v>56662</v>
      </c>
    </row>
    <row r="114" spans="2:4">
      <c r="B114" s="24" t="s">
        <v>36</v>
      </c>
      <c r="C114" s="21">
        <v>366544</v>
      </c>
      <c r="D114" s="30">
        <v>66523</v>
      </c>
    </row>
    <row r="115" spans="2:4">
      <c r="B115" s="24" t="s">
        <v>36</v>
      </c>
      <c r="C115" s="21">
        <v>662354</v>
      </c>
      <c r="D115" s="30">
        <v>89652</v>
      </c>
    </row>
    <row r="116" spans="2:4">
      <c r="B116" s="24" t="s">
        <v>36</v>
      </c>
      <c r="C116" s="21">
        <v>665522</v>
      </c>
      <c r="D116" s="30">
        <v>23365</v>
      </c>
    </row>
    <row r="117" spans="2:4">
      <c r="B117" s="24" t="s">
        <v>36</v>
      </c>
      <c r="C117" s="25">
        <v>668523</v>
      </c>
      <c r="D117" s="30">
        <v>36985</v>
      </c>
    </row>
    <row r="118" spans="2:4">
      <c r="B118" s="24" t="s">
        <v>36</v>
      </c>
      <c r="C118" s="21">
        <v>555441</v>
      </c>
      <c r="D118" s="30">
        <v>56635</v>
      </c>
    </row>
    <row r="119" spans="2:4">
      <c r="B119" s="24" t="s">
        <v>37</v>
      </c>
      <c r="C119" s="21">
        <v>122000</v>
      </c>
      <c r="D119" s="30">
        <v>113456</v>
      </c>
    </row>
    <row r="120" spans="2:4">
      <c r="B120" s="24" t="s">
        <v>37</v>
      </c>
      <c r="C120" s="21">
        <v>454545</v>
      </c>
      <c r="D120" s="30">
        <v>97654</v>
      </c>
    </row>
    <row r="121" spans="2:4">
      <c r="B121" s="24" t="s">
        <v>37</v>
      </c>
      <c r="C121" s="21">
        <v>565544</v>
      </c>
      <c r="D121" s="30">
        <v>22234</v>
      </c>
    </row>
    <row r="122" spans="2:4">
      <c r="B122" s="24" t="s">
        <v>37</v>
      </c>
      <c r="C122" s="21">
        <v>556441</v>
      </c>
      <c r="D122" s="30">
        <v>33456</v>
      </c>
    </row>
    <row r="123" spans="2:4">
      <c r="B123" s="24" t="s">
        <v>37</v>
      </c>
      <c r="C123" s="21">
        <v>556544</v>
      </c>
      <c r="D123" s="30">
        <v>35872</v>
      </c>
    </row>
    <row r="124" spans="2:4">
      <c r="B124" s="24" t="s">
        <v>37</v>
      </c>
      <c r="C124" s="21">
        <v>122533</v>
      </c>
      <c r="D124" s="30">
        <v>25893</v>
      </c>
    </row>
    <row r="125" spans="2:4" ht="15.75" thickBot="1">
      <c r="B125" s="27" t="s">
        <v>37</v>
      </c>
      <c r="C125" s="28">
        <v>125221</v>
      </c>
      <c r="D125" s="32">
        <v>65891</v>
      </c>
    </row>
  </sheetData>
  <dataConsolidate function="count" leftLabels="1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0"/>
  <sheetViews>
    <sheetView workbookViewId="0">
      <selection activeCell="I14" sqref="I14"/>
    </sheetView>
  </sheetViews>
  <sheetFormatPr defaultRowHeight="15"/>
  <cols>
    <col min="1" max="1" width="28.7109375" bestFit="1" customWidth="1"/>
    <col min="2" max="2" width="17.42578125" bestFit="1" customWidth="1"/>
    <col min="3" max="3" width="19" bestFit="1" customWidth="1"/>
    <col min="4" max="4" width="20" bestFit="1" customWidth="1"/>
  </cols>
  <sheetData>
    <row r="3" spans="1:4">
      <c r="A3" s="192" t="s">
        <v>147</v>
      </c>
      <c r="B3" t="s">
        <v>148</v>
      </c>
      <c r="C3" t="s">
        <v>149</v>
      </c>
      <c r="D3" t="s">
        <v>150</v>
      </c>
    </row>
    <row r="4" spans="1:4">
      <c r="A4" s="193" t="s">
        <v>47</v>
      </c>
      <c r="B4" s="195">
        <v>2456</v>
      </c>
      <c r="C4" s="195">
        <v>5</v>
      </c>
      <c r="D4" s="195">
        <v>667</v>
      </c>
    </row>
    <row r="5" spans="1:4">
      <c r="A5" s="194" t="s">
        <v>56</v>
      </c>
      <c r="B5" s="195">
        <v>2456</v>
      </c>
      <c r="C5" s="195">
        <v>5</v>
      </c>
      <c r="D5" s="195">
        <v>667</v>
      </c>
    </row>
    <row r="6" spans="1:4">
      <c r="A6" s="193" t="s">
        <v>60</v>
      </c>
      <c r="B6" s="195">
        <v>333</v>
      </c>
      <c r="C6" s="195">
        <v>223</v>
      </c>
      <c r="D6" s="195">
        <v>432</v>
      </c>
    </row>
    <row r="7" spans="1:4">
      <c r="A7" s="194" t="s">
        <v>56</v>
      </c>
      <c r="B7" s="195">
        <v>333</v>
      </c>
      <c r="C7" s="195">
        <v>223</v>
      </c>
      <c r="D7" s="195">
        <v>432</v>
      </c>
    </row>
    <row r="8" spans="1:4">
      <c r="A8" s="193" t="s">
        <v>48</v>
      </c>
      <c r="B8" s="195">
        <v>322</v>
      </c>
      <c r="C8" s="195">
        <v>6</v>
      </c>
      <c r="D8" s="195">
        <v>4346</v>
      </c>
    </row>
    <row r="9" spans="1:4">
      <c r="A9" s="194" t="s">
        <v>58</v>
      </c>
      <c r="B9" s="195">
        <v>322</v>
      </c>
      <c r="C9" s="195">
        <v>6</v>
      </c>
      <c r="D9" s="195">
        <v>4346</v>
      </c>
    </row>
    <row r="10" spans="1:4">
      <c r="A10" s="193" t="s">
        <v>42</v>
      </c>
      <c r="B10" s="195">
        <v>3456</v>
      </c>
      <c r="C10" s="195">
        <v>121</v>
      </c>
      <c r="D10" s="195">
        <v>32</v>
      </c>
    </row>
    <row r="11" spans="1:4">
      <c r="A11" s="194" t="s">
        <v>56</v>
      </c>
      <c r="B11" s="195">
        <v>3456</v>
      </c>
      <c r="C11" s="195">
        <v>121</v>
      </c>
      <c r="D11" s="195">
        <v>32</v>
      </c>
    </row>
    <row r="12" spans="1:4">
      <c r="A12" s="193" t="s">
        <v>61</v>
      </c>
      <c r="B12" s="195">
        <v>3235</v>
      </c>
      <c r="C12" s="195">
        <v>2</v>
      </c>
      <c r="D12" s="195">
        <v>32</v>
      </c>
    </row>
    <row r="13" spans="1:4">
      <c r="A13" s="194" t="s">
        <v>56</v>
      </c>
      <c r="B13" s="195">
        <v>3235</v>
      </c>
      <c r="C13" s="195">
        <v>2</v>
      </c>
      <c r="D13" s="195">
        <v>32</v>
      </c>
    </row>
    <row r="14" spans="1:4">
      <c r="A14" s="193" t="s">
        <v>44</v>
      </c>
      <c r="B14" s="195">
        <v>4332</v>
      </c>
      <c r="C14" s="195">
        <v>5</v>
      </c>
      <c r="D14" s="195">
        <v>453</v>
      </c>
    </row>
    <row r="15" spans="1:4">
      <c r="A15" s="194" t="s">
        <v>56</v>
      </c>
      <c r="B15" s="195">
        <v>4332</v>
      </c>
      <c r="C15" s="195">
        <v>5</v>
      </c>
      <c r="D15" s="195">
        <v>453</v>
      </c>
    </row>
    <row r="16" spans="1:4">
      <c r="A16" s="193" t="s">
        <v>43</v>
      </c>
      <c r="B16" s="195">
        <v>4656</v>
      </c>
      <c r="C16" s="195">
        <v>4</v>
      </c>
      <c r="D16" s="195">
        <v>1234</v>
      </c>
    </row>
    <row r="17" spans="1:4">
      <c r="A17" s="194" t="s">
        <v>56</v>
      </c>
      <c r="B17" s="195">
        <v>4656</v>
      </c>
      <c r="C17" s="195">
        <v>4</v>
      </c>
      <c r="D17" s="195">
        <v>1234</v>
      </c>
    </row>
    <row r="18" spans="1:4">
      <c r="A18" s="193" t="s">
        <v>46</v>
      </c>
      <c r="B18" s="195">
        <v>234</v>
      </c>
      <c r="C18" s="195">
        <v>5</v>
      </c>
      <c r="D18" s="195">
        <v>543</v>
      </c>
    </row>
    <row r="19" spans="1:4">
      <c r="A19" s="194" t="s">
        <v>56</v>
      </c>
      <c r="B19" s="195">
        <v>234</v>
      </c>
      <c r="C19" s="195">
        <v>5</v>
      </c>
      <c r="D19" s="195">
        <v>543</v>
      </c>
    </row>
    <row r="20" spans="1:4">
      <c r="A20" s="193" t="s">
        <v>45</v>
      </c>
      <c r="B20" s="195">
        <v>21</v>
      </c>
      <c r="C20" s="195">
        <v>54</v>
      </c>
      <c r="D20" s="195">
        <v>543</v>
      </c>
    </row>
    <row r="21" spans="1:4">
      <c r="A21" s="194" t="s">
        <v>56</v>
      </c>
      <c r="B21" s="195">
        <v>21</v>
      </c>
      <c r="C21" s="195">
        <v>54</v>
      </c>
      <c r="D21" s="195">
        <v>543</v>
      </c>
    </row>
    <row r="22" spans="1:4">
      <c r="A22" s="193" t="s">
        <v>51</v>
      </c>
      <c r="B22" s="195">
        <v>1234</v>
      </c>
      <c r="C22" s="195">
        <v>5</v>
      </c>
      <c r="D22" s="195">
        <v>32</v>
      </c>
    </row>
    <row r="23" spans="1:4">
      <c r="A23" s="194" t="s">
        <v>57</v>
      </c>
      <c r="B23" s="195">
        <v>1234</v>
      </c>
      <c r="C23" s="195">
        <v>5</v>
      </c>
      <c r="D23" s="195">
        <v>32</v>
      </c>
    </row>
    <row r="24" spans="1:4">
      <c r="A24" s="193" t="s">
        <v>63</v>
      </c>
      <c r="B24" s="195">
        <v>455</v>
      </c>
      <c r="C24" s="195">
        <v>4</v>
      </c>
      <c r="D24" s="195">
        <v>24</v>
      </c>
    </row>
    <row r="25" spans="1:4">
      <c r="A25" s="194" t="s">
        <v>56</v>
      </c>
      <c r="B25" s="195">
        <v>455</v>
      </c>
      <c r="C25" s="195">
        <v>4</v>
      </c>
      <c r="D25" s="195">
        <v>24</v>
      </c>
    </row>
    <row r="26" spans="1:4">
      <c r="A26" s="193" t="s">
        <v>52</v>
      </c>
      <c r="B26" s="195">
        <v>9876</v>
      </c>
      <c r="C26" s="195">
        <v>656</v>
      </c>
      <c r="D26" s="195">
        <v>32</v>
      </c>
    </row>
    <row r="27" spans="1:4">
      <c r="A27" s="194" t="s">
        <v>57</v>
      </c>
      <c r="B27" s="195">
        <v>9876</v>
      </c>
      <c r="C27" s="195">
        <v>656</v>
      </c>
      <c r="D27" s="195">
        <v>32</v>
      </c>
    </row>
    <row r="28" spans="1:4">
      <c r="A28" s="193" t="s">
        <v>64</v>
      </c>
      <c r="B28" s="195">
        <v>122</v>
      </c>
      <c r="C28" s="195">
        <v>78</v>
      </c>
      <c r="D28" s="195">
        <v>3322</v>
      </c>
    </row>
    <row r="29" spans="1:4">
      <c r="A29" s="194" t="s">
        <v>57</v>
      </c>
      <c r="B29" s="195">
        <v>122</v>
      </c>
      <c r="C29" s="195">
        <v>78</v>
      </c>
      <c r="D29" s="195">
        <v>3322</v>
      </c>
    </row>
    <row r="30" spans="1:4">
      <c r="A30" s="193" t="s">
        <v>146</v>
      </c>
      <c r="B30" s="195">
        <v>30732</v>
      </c>
      <c r="C30" s="195">
        <v>1168</v>
      </c>
      <c r="D30" s="195">
        <v>11692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9:I34"/>
  <sheetViews>
    <sheetView showGridLines="0" workbookViewId="0">
      <selection activeCell="F39" sqref="F39"/>
    </sheetView>
  </sheetViews>
  <sheetFormatPr defaultRowHeight="1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>
      <c r="B9" s="72" t="s">
        <v>101</v>
      </c>
      <c r="C9" s="73" t="s">
        <v>102</v>
      </c>
      <c r="D9" s="74" t="s">
        <v>103</v>
      </c>
      <c r="E9" s="74" t="s">
        <v>104</v>
      </c>
      <c r="F9" s="74" t="s">
        <v>105</v>
      </c>
    </row>
    <row r="10" spans="2:9">
      <c r="B10" s="35" t="s">
        <v>50</v>
      </c>
      <c r="C10" s="62" t="s">
        <v>56</v>
      </c>
      <c r="D10" s="63">
        <v>456</v>
      </c>
      <c r="E10" s="64">
        <v>5534</v>
      </c>
      <c r="F10" s="64">
        <v>23432</v>
      </c>
    </row>
    <row r="11" spans="2:9">
      <c r="B11" s="35" t="s">
        <v>60</v>
      </c>
      <c r="C11" s="62" t="s">
        <v>56</v>
      </c>
      <c r="D11" s="63">
        <v>333</v>
      </c>
      <c r="E11" s="64">
        <v>223</v>
      </c>
      <c r="F11" s="64">
        <v>432</v>
      </c>
    </row>
    <row r="12" spans="2:9">
      <c r="B12" s="35" t="s">
        <v>61</v>
      </c>
      <c r="C12" s="62" t="s">
        <v>56</v>
      </c>
      <c r="D12" s="63">
        <v>3235</v>
      </c>
      <c r="E12" s="64">
        <v>2</v>
      </c>
      <c r="F12" s="64">
        <v>32</v>
      </c>
    </row>
    <row r="13" spans="2:9">
      <c r="B13" s="35" t="s">
        <v>42</v>
      </c>
      <c r="C13" s="62" t="s">
        <v>56</v>
      </c>
      <c r="D13" s="63">
        <v>3456</v>
      </c>
      <c r="E13" s="64">
        <v>121</v>
      </c>
      <c r="F13" s="64">
        <v>32</v>
      </c>
    </row>
    <row r="14" spans="2:9">
      <c r="B14" s="14" t="s">
        <v>51</v>
      </c>
      <c r="C14" s="62" t="s">
        <v>57</v>
      </c>
      <c r="D14" s="63">
        <v>1234</v>
      </c>
      <c r="E14" s="64">
        <v>5</v>
      </c>
      <c r="F14" s="64">
        <v>32</v>
      </c>
    </row>
    <row r="15" spans="2:9">
      <c r="B15" s="35" t="s">
        <v>52</v>
      </c>
      <c r="C15" s="62" t="s">
        <v>57</v>
      </c>
      <c r="D15" s="63">
        <v>9876</v>
      </c>
      <c r="E15" s="64">
        <v>656</v>
      </c>
      <c r="F15" s="64">
        <v>32</v>
      </c>
    </row>
    <row r="16" spans="2:9">
      <c r="B16" s="35" t="s">
        <v>43</v>
      </c>
      <c r="C16" s="62" t="s">
        <v>56</v>
      </c>
      <c r="D16" s="63">
        <v>4656</v>
      </c>
      <c r="E16" s="64">
        <v>4</v>
      </c>
      <c r="F16" s="64">
        <v>1234</v>
      </c>
      <c r="G16" s="60"/>
      <c r="H16" s="60"/>
      <c r="I16" s="60"/>
    </row>
    <row r="17" spans="2:9">
      <c r="B17" s="35" t="s">
        <v>44</v>
      </c>
      <c r="C17" s="62" t="s">
        <v>56</v>
      </c>
      <c r="D17" s="63">
        <v>4332</v>
      </c>
      <c r="E17" s="64">
        <v>5</v>
      </c>
      <c r="F17" s="64">
        <v>453</v>
      </c>
      <c r="G17" s="60"/>
      <c r="H17" s="60"/>
      <c r="I17" s="60"/>
    </row>
    <row r="18" spans="2:9">
      <c r="B18" s="35" t="s">
        <v>63</v>
      </c>
      <c r="C18" s="62" t="s">
        <v>56</v>
      </c>
      <c r="D18" s="63">
        <v>455</v>
      </c>
      <c r="E18" s="64">
        <v>4</v>
      </c>
      <c r="F18" s="64">
        <v>24</v>
      </c>
      <c r="G18" s="60"/>
      <c r="H18" s="60"/>
      <c r="I18" s="60"/>
    </row>
    <row r="19" spans="2:9">
      <c r="B19" s="35" t="s">
        <v>45</v>
      </c>
      <c r="C19" s="62" t="s">
        <v>56</v>
      </c>
      <c r="D19" s="63">
        <v>21</v>
      </c>
      <c r="E19" s="64">
        <v>54</v>
      </c>
      <c r="F19" s="64">
        <v>543</v>
      </c>
      <c r="G19" s="60"/>
      <c r="H19" s="60"/>
      <c r="I19" s="60"/>
    </row>
    <row r="20" spans="2:9">
      <c r="B20" s="35" t="s">
        <v>46</v>
      </c>
      <c r="C20" s="62" t="s">
        <v>56</v>
      </c>
      <c r="D20" s="63">
        <v>234</v>
      </c>
      <c r="E20" s="64">
        <v>5</v>
      </c>
      <c r="F20" s="64">
        <v>543</v>
      </c>
      <c r="G20" s="60"/>
      <c r="H20" s="60"/>
      <c r="I20" s="60"/>
    </row>
    <row r="21" spans="2:9">
      <c r="B21" s="35" t="s">
        <v>47</v>
      </c>
      <c r="C21" s="62" t="s">
        <v>56</v>
      </c>
      <c r="D21" s="63">
        <v>2456</v>
      </c>
      <c r="E21" s="64">
        <v>5</v>
      </c>
      <c r="F21" s="64">
        <v>667</v>
      </c>
      <c r="G21" s="60"/>
      <c r="H21" s="60"/>
      <c r="I21" s="60"/>
    </row>
    <row r="22" spans="2:9">
      <c r="B22" s="35" t="s">
        <v>48</v>
      </c>
      <c r="C22" s="62" t="s">
        <v>58</v>
      </c>
      <c r="D22" s="63">
        <v>322</v>
      </c>
      <c r="E22" s="64">
        <v>6</v>
      </c>
      <c r="F22" s="64">
        <v>4346</v>
      </c>
      <c r="G22" s="60"/>
      <c r="H22" s="60"/>
      <c r="I22" s="60"/>
    </row>
    <row r="23" spans="2:9">
      <c r="B23" s="14" t="s">
        <v>64</v>
      </c>
      <c r="C23" s="62" t="s">
        <v>57</v>
      </c>
      <c r="D23" s="63">
        <v>122</v>
      </c>
      <c r="E23" s="64">
        <v>78</v>
      </c>
      <c r="F23" s="64">
        <v>3322</v>
      </c>
      <c r="G23" s="60"/>
      <c r="H23" s="60"/>
      <c r="I23" s="60"/>
    </row>
    <row r="24" spans="2:9">
      <c r="B24" s="60"/>
      <c r="C24" s="58"/>
      <c r="D24" s="59"/>
      <c r="E24" s="60"/>
      <c r="F24" s="60"/>
      <c r="G24" s="60"/>
      <c r="H24" s="60"/>
      <c r="I24" s="60"/>
    </row>
    <row r="25" spans="2:9">
      <c r="B25" s="57"/>
      <c r="C25" s="58"/>
      <c r="D25" s="59"/>
      <c r="E25" s="60"/>
      <c r="F25" s="60"/>
      <c r="G25" s="60"/>
      <c r="H25" s="60"/>
      <c r="I25" s="60"/>
    </row>
    <row r="26" spans="2:9">
      <c r="B26" s="57"/>
      <c r="C26" s="58"/>
      <c r="D26" s="59"/>
      <c r="E26" s="60"/>
      <c r="F26" s="60"/>
      <c r="G26" s="60"/>
      <c r="H26" s="60"/>
      <c r="I26" s="60"/>
    </row>
    <row r="27" spans="2:9">
      <c r="B27" s="57"/>
      <c r="C27" s="58"/>
      <c r="D27" s="59"/>
      <c r="E27" s="60"/>
      <c r="F27" s="60"/>
      <c r="G27" s="60"/>
      <c r="H27" s="60"/>
      <c r="I27" s="60"/>
    </row>
    <row r="28" spans="2:9">
      <c r="B28" s="57"/>
      <c r="C28" s="58"/>
      <c r="D28" s="59"/>
      <c r="E28" s="60"/>
      <c r="F28" s="60"/>
      <c r="G28" s="60"/>
      <c r="H28" s="60"/>
      <c r="I28" s="60"/>
    </row>
    <row r="29" spans="2:9">
      <c r="B29" s="60"/>
      <c r="C29" s="61"/>
      <c r="D29" s="59"/>
      <c r="E29" s="60"/>
      <c r="F29" s="60"/>
      <c r="G29" s="60"/>
      <c r="H29" s="60"/>
      <c r="I29" s="60"/>
    </row>
    <row r="30" spans="2:9">
      <c r="B30" s="60"/>
      <c r="C30" s="61"/>
      <c r="D30" s="59"/>
      <c r="E30" s="60"/>
      <c r="F30" s="60"/>
      <c r="G30" s="60"/>
      <c r="H30" s="60"/>
      <c r="I30" s="60"/>
    </row>
    <row r="31" spans="2:9">
      <c r="B31" s="60"/>
      <c r="C31" s="61"/>
      <c r="D31" s="59"/>
      <c r="E31" s="60"/>
      <c r="F31" s="60"/>
      <c r="G31" s="60"/>
      <c r="H31" s="60"/>
      <c r="I31" s="60"/>
    </row>
    <row r="32" spans="2:9">
      <c r="B32" s="60"/>
      <c r="C32" s="61"/>
      <c r="D32" s="59"/>
      <c r="E32" s="60"/>
      <c r="F32" s="60"/>
      <c r="G32" s="60"/>
      <c r="H32" s="60"/>
      <c r="I32" s="60"/>
    </row>
    <row r="33" spans="2:9">
      <c r="B33" s="60"/>
      <c r="C33" s="61"/>
      <c r="D33" s="59"/>
      <c r="E33" s="60"/>
      <c r="F33" s="60"/>
      <c r="G33" s="60"/>
      <c r="H33" s="60"/>
      <c r="I33" s="60"/>
    </row>
    <row r="34" spans="2:9">
      <c r="B34" s="60"/>
      <c r="C34" s="61"/>
      <c r="D34" s="59"/>
      <c r="E34" s="60"/>
      <c r="F34" s="60"/>
      <c r="G34" s="60"/>
      <c r="H34" s="60"/>
      <c r="I34" s="60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1:L22"/>
  <sheetViews>
    <sheetView showGridLines="0" workbookViewId="0">
      <selection activeCell="M16" sqref="M16"/>
    </sheetView>
  </sheetViews>
  <sheetFormatPr defaultRowHeight="1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/>
    <row r="3" spans="2:12">
      <c r="G3" s="51" t="s">
        <v>87</v>
      </c>
      <c r="H3" s="41"/>
      <c r="I3" s="41"/>
      <c r="J3" s="41"/>
    </row>
    <row r="4" spans="2:12">
      <c r="C4" s="66"/>
      <c r="G4" s="51" t="s">
        <v>88</v>
      </c>
      <c r="H4" s="41"/>
      <c r="I4" s="41"/>
      <c r="J4" s="41"/>
    </row>
    <row r="5" spans="2:12">
      <c r="G5" s="51" t="s">
        <v>89</v>
      </c>
      <c r="H5" s="41"/>
      <c r="I5" s="41"/>
      <c r="J5" s="41"/>
    </row>
    <row r="7" spans="2:12" ht="27.75" customHeight="1" thickBot="1"/>
    <row r="8" spans="2:12" ht="15.75" hidden="1" thickBot="1"/>
    <row r="9" spans="2:12" ht="15.75" thickBot="1">
      <c r="B9" s="173" t="s">
        <v>71</v>
      </c>
      <c r="C9" s="174"/>
      <c r="D9" s="40"/>
      <c r="E9" s="173" t="s">
        <v>90</v>
      </c>
      <c r="F9" s="174"/>
      <c r="G9" s="41"/>
      <c r="H9" s="67" t="s">
        <v>72</v>
      </c>
    </row>
    <row r="10" spans="2:12">
      <c r="B10" s="95" t="s">
        <v>73</v>
      </c>
      <c r="C10" s="96" t="s">
        <v>74</v>
      </c>
      <c r="D10" s="42"/>
      <c r="E10" s="95" t="s">
        <v>73</v>
      </c>
      <c r="F10" s="96" t="s">
        <v>74</v>
      </c>
      <c r="G10" s="41"/>
      <c r="H10" s="97" t="s">
        <v>21</v>
      </c>
    </row>
    <row r="11" spans="2:12">
      <c r="B11" s="43" t="s">
        <v>75</v>
      </c>
      <c r="C11" s="44">
        <v>45678</v>
      </c>
      <c r="D11" s="41"/>
      <c r="E11" s="43" t="s">
        <v>75</v>
      </c>
      <c r="F11" s="44">
        <v>49876</v>
      </c>
      <c r="G11" s="45"/>
      <c r="H11" s="46">
        <v>65000</v>
      </c>
    </row>
    <row r="12" spans="2:12">
      <c r="B12" s="43" t="s">
        <v>76</v>
      </c>
      <c r="C12" s="47">
        <v>66534</v>
      </c>
      <c r="D12" s="41"/>
      <c r="E12" s="43" t="s">
        <v>76</v>
      </c>
      <c r="F12" s="47">
        <v>59043</v>
      </c>
      <c r="G12" s="45"/>
      <c r="H12" s="46">
        <v>45000</v>
      </c>
      <c r="L12" s="68"/>
    </row>
    <row r="13" spans="2:12">
      <c r="B13" s="43" t="s">
        <v>77</v>
      </c>
      <c r="C13" s="47">
        <v>49876</v>
      </c>
      <c r="D13" s="41"/>
      <c r="E13" s="43" t="s">
        <v>77</v>
      </c>
      <c r="F13" s="47">
        <v>53456</v>
      </c>
      <c r="G13" s="45"/>
      <c r="H13" s="46">
        <v>40000</v>
      </c>
    </row>
    <row r="14" spans="2:12">
      <c r="B14" s="43" t="s">
        <v>78</v>
      </c>
      <c r="C14" s="47">
        <v>25678</v>
      </c>
      <c r="D14" s="41"/>
      <c r="E14" s="43" t="s">
        <v>78</v>
      </c>
      <c r="F14" s="47">
        <v>34599</v>
      </c>
      <c r="G14" s="45"/>
      <c r="H14" s="46">
        <v>40000</v>
      </c>
    </row>
    <row r="15" spans="2:12">
      <c r="B15" s="43" t="s">
        <v>79</v>
      </c>
      <c r="C15" s="47">
        <v>12253</v>
      </c>
      <c r="D15" s="41"/>
      <c r="E15" s="43" t="s">
        <v>79</v>
      </c>
      <c r="F15" s="47">
        <v>17234</v>
      </c>
      <c r="G15" s="41"/>
      <c r="H15" s="46">
        <v>30000</v>
      </c>
    </row>
    <row r="16" spans="2:12">
      <c r="B16" s="43" t="s">
        <v>80</v>
      </c>
      <c r="C16" s="47">
        <v>19854</v>
      </c>
      <c r="D16" s="41"/>
      <c r="E16" s="43" t="s">
        <v>80</v>
      </c>
      <c r="F16" s="47">
        <v>28903</v>
      </c>
      <c r="G16" s="41"/>
      <c r="H16" s="46">
        <v>25000</v>
      </c>
    </row>
    <row r="17" spans="2:8">
      <c r="B17" s="43" t="s">
        <v>81</v>
      </c>
      <c r="C17" s="47">
        <v>76543</v>
      </c>
      <c r="D17" s="41"/>
      <c r="E17" s="43" t="s">
        <v>81</v>
      </c>
      <c r="F17" s="47">
        <v>66321</v>
      </c>
      <c r="G17" s="41"/>
      <c r="H17" s="46">
        <v>60000</v>
      </c>
    </row>
    <row r="18" spans="2:8">
      <c r="B18" s="43" t="s">
        <v>82</v>
      </c>
      <c r="C18" s="47">
        <v>45329</v>
      </c>
      <c r="D18" s="41"/>
      <c r="E18" s="43" t="s">
        <v>82</v>
      </c>
      <c r="F18" s="47">
        <v>43234</v>
      </c>
      <c r="G18" s="41"/>
      <c r="H18" s="46">
        <v>35000</v>
      </c>
    </row>
    <row r="19" spans="2:8">
      <c r="B19" s="43" t="s">
        <v>83</v>
      </c>
      <c r="C19" s="47">
        <v>99876</v>
      </c>
      <c r="D19" s="41"/>
      <c r="E19" s="43" t="s">
        <v>83</v>
      </c>
      <c r="F19" s="47">
        <v>87654</v>
      </c>
      <c r="G19" s="41"/>
      <c r="H19" s="46">
        <v>80000</v>
      </c>
    </row>
    <row r="20" spans="2:8">
      <c r="B20" s="43" t="s">
        <v>84</v>
      </c>
      <c r="C20" s="47">
        <v>66543</v>
      </c>
      <c r="D20" s="41"/>
      <c r="E20" s="43" t="s">
        <v>84</v>
      </c>
      <c r="F20" s="47">
        <v>74987</v>
      </c>
      <c r="G20" s="41"/>
      <c r="H20" s="46">
        <v>80000</v>
      </c>
    </row>
    <row r="21" spans="2:8">
      <c r="B21" s="43" t="s">
        <v>85</v>
      </c>
      <c r="C21" s="47">
        <v>124345</v>
      </c>
      <c r="D21" s="41"/>
      <c r="E21" s="43" t="s">
        <v>85</v>
      </c>
      <c r="F21" s="47">
        <v>144567</v>
      </c>
      <c r="G21" s="41"/>
      <c r="H21" s="46">
        <v>150000</v>
      </c>
    </row>
    <row r="22" spans="2:8" ht="15.75" thickBot="1">
      <c r="B22" s="48" t="s">
        <v>86</v>
      </c>
      <c r="C22" s="49">
        <v>189773</v>
      </c>
      <c r="D22" s="41"/>
      <c r="E22" s="48" t="s">
        <v>86</v>
      </c>
      <c r="F22" s="49">
        <v>175876</v>
      </c>
      <c r="G22" s="41"/>
      <c r="H22" s="50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7:P34"/>
  <sheetViews>
    <sheetView showGridLines="0" workbookViewId="0">
      <selection activeCell="G9" sqref="G9"/>
    </sheetView>
  </sheetViews>
  <sheetFormatPr defaultRowHeight="1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3" width="16.42578125" customWidth="1"/>
    <col min="14" max="14" width="21.85546875" customWidth="1"/>
    <col min="15" max="15" width="14.42578125" customWidth="1"/>
    <col min="16" max="16" width="14" customWidth="1"/>
  </cols>
  <sheetData>
    <row r="7" spans="2:16" ht="15.75" thickBot="1"/>
    <row r="8" spans="2:16" ht="32.25" customHeight="1">
      <c r="B8" s="69" t="s">
        <v>41</v>
      </c>
      <c r="C8" s="70" t="s">
        <v>14</v>
      </c>
      <c r="D8" s="70" t="s">
        <v>17</v>
      </c>
      <c r="E8" s="71" t="s">
        <v>15</v>
      </c>
      <c r="G8" s="69" t="s">
        <v>126</v>
      </c>
      <c r="H8" s="70" t="s">
        <v>119</v>
      </c>
      <c r="I8" s="70" t="s">
        <v>120</v>
      </c>
      <c r="J8" s="71" t="s">
        <v>121</v>
      </c>
      <c r="K8" s="71" t="s">
        <v>122</v>
      </c>
      <c r="L8" s="71" t="s">
        <v>123</v>
      </c>
      <c r="M8" s="100" t="s">
        <v>125</v>
      </c>
      <c r="N8" s="71" t="s">
        <v>124</v>
      </c>
      <c r="O8" s="100" t="s">
        <v>127</v>
      </c>
      <c r="P8" s="100" t="s">
        <v>128</v>
      </c>
    </row>
    <row r="9" spans="2:16" ht="15.95" customHeight="1">
      <c r="B9" s="34">
        <v>2000</v>
      </c>
      <c r="C9" s="35" t="s">
        <v>50</v>
      </c>
      <c r="D9" s="37">
        <v>65</v>
      </c>
      <c r="E9" s="15" t="s">
        <v>56</v>
      </c>
      <c r="G9" s="34"/>
      <c r="H9" s="35"/>
      <c r="I9" s="37"/>
      <c r="J9" s="15"/>
      <c r="K9" s="15"/>
      <c r="L9" s="15"/>
      <c r="M9" s="101"/>
      <c r="N9" s="104"/>
      <c r="O9" s="102"/>
      <c r="P9" s="103"/>
    </row>
    <row r="10" spans="2:16" ht="15.95" customHeight="1">
      <c r="B10" s="34">
        <v>2001</v>
      </c>
      <c r="C10" s="35" t="s">
        <v>60</v>
      </c>
      <c r="D10" s="37">
        <v>399</v>
      </c>
      <c r="E10" s="15" t="s">
        <v>56</v>
      </c>
      <c r="G10" s="34"/>
      <c r="H10" s="35"/>
      <c r="I10" s="37"/>
      <c r="J10" s="15"/>
      <c r="K10" s="15"/>
      <c r="L10" s="15"/>
      <c r="M10" s="15"/>
      <c r="N10" s="104"/>
      <c r="O10" s="102"/>
      <c r="P10" s="103"/>
    </row>
    <row r="11" spans="2:16" ht="15.95" customHeight="1">
      <c r="B11" s="34">
        <v>2002</v>
      </c>
      <c r="C11" s="35" t="s">
        <v>61</v>
      </c>
      <c r="D11" s="37">
        <v>1890</v>
      </c>
      <c r="E11" s="15" t="s">
        <v>56</v>
      </c>
      <c r="G11" s="34"/>
      <c r="H11" s="35"/>
      <c r="I11" s="37"/>
      <c r="J11" s="15"/>
      <c r="K11" s="15"/>
      <c r="L11" s="15"/>
      <c r="M11" s="15"/>
      <c r="N11" s="104"/>
      <c r="O11" s="102"/>
      <c r="P11" s="103"/>
    </row>
    <row r="12" spans="2:16" ht="15.95" customHeight="1">
      <c r="B12" s="34">
        <v>2003</v>
      </c>
      <c r="C12" s="35" t="s">
        <v>42</v>
      </c>
      <c r="D12" s="37">
        <v>550</v>
      </c>
      <c r="E12" s="15" t="s">
        <v>56</v>
      </c>
      <c r="G12" s="34"/>
      <c r="H12" s="35"/>
      <c r="I12" s="37"/>
      <c r="J12" s="15"/>
      <c r="K12" s="15"/>
      <c r="L12" s="15"/>
      <c r="M12" s="15"/>
      <c r="N12" s="98"/>
      <c r="O12" s="15"/>
      <c r="P12" s="15"/>
    </row>
    <row r="13" spans="2:16" ht="15.95" customHeight="1">
      <c r="B13" s="34">
        <v>2004</v>
      </c>
      <c r="C13" s="14" t="s">
        <v>51</v>
      </c>
      <c r="D13" s="37">
        <v>1499</v>
      </c>
      <c r="E13" s="15" t="s">
        <v>57</v>
      </c>
      <c r="G13" s="34"/>
      <c r="H13" s="14"/>
      <c r="I13" s="37"/>
      <c r="J13" s="15"/>
      <c r="K13" s="15"/>
      <c r="L13" s="15"/>
      <c r="M13" s="15"/>
      <c r="N13" s="98"/>
      <c r="O13" s="15"/>
      <c r="P13" s="15"/>
    </row>
    <row r="14" spans="2:16" ht="15.95" customHeight="1">
      <c r="B14" s="34">
        <v>2005</v>
      </c>
      <c r="C14" s="35" t="s">
        <v>52</v>
      </c>
      <c r="D14" s="37">
        <v>125</v>
      </c>
      <c r="E14" s="15" t="s">
        <v>57</v>
      </c>
      <c r="G14" s="34"/>
      <c r="H14" s="35"/>
      <c r="I14" s="37"/>
      <c r="J14" s="15"/>
      <c r="K14" s="15"/>
      <c r="L14" s="15"/>
      <c r="M14" s="15"/>
      <c r="N14" s="98"/>
      <c r="O14" s="15"/>
      <c r="P14" s="15"/>
    </row>
    <row r="15" spans="2:16" ht="15.95" customHeight="1">
      <c r="B15" s="34">
        <v>2006</v>
      </c>
      <c r="C15" s="35" t="s">
        <v>43</v>
      </c>
      <c r="D15" s="37">
        <v>29</v>
      </c>
      <c r="E15" s="15" t="s">
        <v>56</v>
      </c>
      <c r="G15" s="34"/>
      <c r="H15" s="35"/>
      <c r="I15" s="37"/>
      <c r="J15" s="15"/>
      <c r="K15" s="15"/>
      <c r="L15" s="15"/>
      <c r="M15" s="15"/>
      <c r="N15" s="98"/>
      <c r="O15" s="15"/>
      <c r="P15" s="15"/>
    </row>
    <row r="16" spans="2:16" ht="15.95" customHeight="1">
      <c r="B16" s="34">
        <v>2007</v>
      </c>
      <c r="C16" s="35" t="s">
        <v>44</v>
      </c>
      <c r="D16" s="37">
        <v>3120</v>
      </c>
      <c r="E16" s="15" t="s">
        <v>56</v>
      </c>
      <c r="G16" s="34"/>
      <c r="H16" s="35"/>
      <c r="I16" s="37"/>
      <c r="J16" s="15"/>
      <c r="K16" s="15"/>
      <c r="L16" s="15"/>
      <c r="M16" s="15"/>
      <c r="N16" s="98"/>
      <c r="O16" s="15"/>
      <c r="P16" s="15"/>
    </row>
    <row r="17" spans="2:16" ht="15.95" customHeight="1">
      <c r="B17" s="34">
        <v>2008</v>
      </c>
      <c r="C17" s="35" t="s">
        <v>63</v>
      </c>
      <c r="D17" s="37">
        <v>145</v>
      </c>
      <c r="E17" s="15" t="s">
        <v>56</v>
      </c>
      <c r="G17" s="34"/>
      <c r="H17" s="35"/>
      <c r="I17" s="37"/>
      <c r="J17" s="15"/>
      <c r="K17" s="15"/>
      <c r="L17" s="15"/>
      <c r="M17" s="15"/>
      <c r="N17" s="98"/>
      <c r="O17" s="15"/>
      <c r="P17" s="15"/>
    </row>
    <row r="18" spans="2:16" ht="15.95" customHeight="1">
      <c r="B18" s="34">
        <v>2009</v>
      </c>
      <c r="C18" s="35" t="s">
        <v>45</v>
      </c>
      <c r="D18" s="37">
        <v>120</v>
      </c>
      <c r="E18" s="15" t="s">
        <v>56</v>
      </c>
      <c r="G18" s="34"/>
      <c r="H18" s="35"/>
      <c r="I18" s="37"/>
      <c r="J18" s="15"/>
      <c r="K18" s="15"/>
      <c r="L18" s="15"/>
      <c r="M18" s="15"/>
      <c r="N18" s="98"/>
      <c r="O18" s="15"/>
      <c r="P18" s="15"/>
    </row>
    <row r="19" spans="2:16" ht="15.95" customHeight="1">
      <c r="B19" s="34">
        <v>2010</v>
      </c>
      <c r="C19" s="35" t="s">
        <v>46</v>
      </c>
      <c r="D19" s="37">
        <v>98</v>
      </c>
      <c r="E19" s="15" t="s">
        <v>56</v>
      </c>
      <c r="G19" s="34"/>
      <c r="H19" s="35"/>
      <c r="I19" s="37"/>
      <c r="J19" s="15"/>
      <c r="K19" s="15"/>
      <c r="L19" s="15"/>
      <c r="M19" s="15"/>
      <c r="N19" s="98"/>
      <c r="O19" s="15"/>
      <c r="P19" s="15"/>
    </row>
    <row r="20" spans="2:16" ht="15.95" customHeight="1">
      <c r="B20" s="34">
        <v>2011</v>
      </c>
      <c r="C20" s="35" t="s">
        <v>47</v>
      </c>
      <c r="D20" s="37">
        <v>35</v>
      </c>
      <c r="E20" s="15" t="s">
        <v>56</v>
      </c>
      <c r="G20" s="34"/>
      <c r="H20" s="35"/>
      <c r="I20" s="37"/>
      <c r="J20" s="15"/>
      <c r="K20" s="15"/>
      <c r="L20" s="15"/>
      <c r="M20" s="15"/>
      <c r="N20" s="98"/>
      <c r="O20" s="15"/>
      <c r="P20" s="15"/>
    </row>
    <row r="21" spans="2:16" ht="15.95" customHeight="1">
      <c r="B21" s="34">
        <v>2012</v>
      </c>
      <c r="C21" s="35" t="s">
        <v>48</v>
      </c>
      <c r="D21" s="37">
        <v>235</v>
      </c>
      <c r="E21" s="15" t="s">
        <v>58</v>
      </c>
      <c r="G21" s="34"/>
      <c r="H21" s="35"/>
      <c r="I21" s="37"/>
      <c r="J21" s="15"/>
      <c r="K21" s="15"/>
      <c r="L21" s="15"/>
      <c r="M21" s="15"/>
      <c r="N21" s="98"/>
      <c r="O21" s="15"/>
      <c r="P21" s="15"/>
    </row>
    <row r="22" spans="2:16" ht="15.95" customHeight="1">
      <c r="B22" s="34">
        <v>2013</v>
      </c>
      <c r="C22" t="s">
        <v>64</v>
      </c>
      <c r="D22" s="37">
        <v>12</v>
      </c>
      <c r="E22" s="15" t="s">
        <v>57</v>
      </c>
      <c r="G22" s="34"/>
      <c r="I22" s="37"/>
      <c r="J22" s="15"/>
      <c r="K22" s="15"/>
      <c r="L22" s="15"/>
      <c r="M22" s="15"/>
      <c r="N22" s="98"/>
      <c r="O22" s="15"/>
      <c r="P22" s="15"/>
    </row>
    <row r="23" spans="2:16" ht="15.95" customHeight="1">
      <c r="B23" s="34">
        <v>2014</v>
      </c>
      <c r="C23" s="35" t="s">
        <v>54</v>
      </c>
      <c r="D23" s="37">
        <v>3190</v>
      </c>
      <c r="E23" s="15" t="s">
        <v>58</v>
      </c>
      <c r="G23" s="34"/>
      <c r="H23" s="35"/>
      <c r="I23" s="37"/>
      <c r="J23" s="15"/>
      <c r="K23" s="15"/>
      <c r="L23" s="15"/>
      <c r="M23" s="15"/>
      <c r="N23" s="98"/>
      <c r="O23" s="15"/>
      <c r="P23" s="15"/>
    </row>
    <row r="24" spans="2:16" ht="15.95" customHeight="1">
      <c r="B24" s="34">
        <v>2015</v>
      </c>
      <c r="C24" s="14" t="s">
        <v>59</v>
      </c>
      <c r="D24" s="37">
        <v>632</v>
      </c>
      <c r="E24" s="15" t="s">
        <v>58</v>
      </c>
      <c r="G24" s="34"/>
      <c r="H24" s="14"/>
      <c r="I24" s="37"/>
      <c r="J24" s="15"/>
      <c r="K24" s="15"/>
      <c r="L24" s="15"/>
      <c r="M24" s="15"/>
      <c r="N24" s="98"/>
      <c r="O24" s="15"/>
      <c r="P24" s="15"/>
    </row>
    <row r="25" spans="2:16" ht="15.95" customHeight="1">
      <c r="B25" s="34">
        <v>2016</v>
      </c>
      <c r="C25" s="35" t="s">
        <v>55</v>
      </c>
      <c r="D25" s="37">
        <v>587</v>
      </c>
      <c r="E25" s="15" t="s">
        <v>58</v>
      </c>
      <c r="G25" s="34"/>
      <c r="H25" s="35"/>
      <c r="I25" s="37"/>
      <c r="J25" s="15"/>
      <c r="K25" s="15"/>
      <c r="L25" s="15"/>
      <c r="M25" s="15"/>
      <c r="N25" s="98"/>
      <c r="O25" s="15"/>
      <c r="P25" s="15"/>
    </row>
    <row r="26" spans="2:16" ht="15.95" customHeight="1">
      <c r="B26" s="34">
        <v>2017</v>
      </c>
      <c r="C26" s="35" t="s">
        <v>53</v>
      </c>
      <c r="D26" s="37">
        <v>899</v>
      </c>
      <c r="E26" s="15" t="s">
        <v>57</v>
      </c>
      <c r="G26" s="34"/>
      <c r="H26" s="35"/>
      <c r="I26" s="37"/>
      <c r="J26" s="15"/>
      <c r="K26" s="15"/>
      <c r="L26" s="15"/>
      <c r="M26" s="15"/>
      <c r="N26" s="98"/>
      <c r="O26" s="15"/>
      <c r="P26" s="15"/>
    </row>
    <row r="27" spans="2:16" ht="15.95" customHeight="1">
      <c r="B27" s="34">
        <v>2018</v>
      </c>
      <c r="C27" s="35" t="s">
        <v>62</v>
      </c>
      <c r="D27" s="37">
        <v>190</v>
      </c>
      <c r="E27" s="15" t="s">
        <v>58</v>
      </c>
      <c r="G27" s="34"/>
      <c r="H27" s="35"/>
      <c r="I27" s="37"/>
      <c r="J27" s="15"/>
      <c r="K27" s="15"/>
      <c r="L27" s="15"/>
      <c r="M27" s="15"/>
      <c r="N27" s="98"/>
      <c r="O27" s="15"/>
      <c r="P27" s="15"/>
    </row>
    <row r="28" spans="2:16" ht="15.95" customHeight="1">
      <c r="B28" s="34">
        <v>2019</v>
      </c>
      <c r="C28" s="35" t="s">
        <v>49</v>
      </c>
      <c r="D28" s="37">
        <v>115</v>
      </c>
      <c r="E28" s="15" t="s">
        <v>56</v>
      </c>
      <c r="G28" s="34"/>
      <c r="H28" s="35"/>
      <c r="I28" s="37"/>
      <c r="J28" s="15"/>
      <c r="K28" s="15"/>
      <c r="L28" s="15"/>
      <c r="M28" s="15"/>
      <c r="N28" s="98"/>
      <c r="O28" s="15"/>
      <c r="P28" s="15"/>
    </row>
    <row r="29" spans="2:16" ht="15.95" customHeight="1">
      <c r="B29" s="34">
        <v>2020</v>
      </c>
      <c r="C29" s="14" t="s">
        <v>65</v>
      </c>
      <c r="D29" s="38">
        <v>15</v>
      </c>
      <c r="E29" s="15" t="s">
        <v>57</v>
      </c>
      <c r="G29" s="34"/>
      <c r="H29" s="14"/>
      <c r="I29" s="38"/>
      <c r="J29" s="15"/>
      <c r="K29" s="15"/>
      <c r="L29" s="15"/>
      <c r="M29" s="15"/>
      <c r="N29" s="98"/>
      <c r="O29" s="15"/>
      <c r="P29" s="15"/>
    </row>
    <row r="30" spans="2:16" ht="15.95" customHeight="1">
      <c r="B30" s="34">
        <v>2021</v>
      </c>
      <c r="C30" s="14" t="s">
        <v>66</v>
      </c>
      <c r="D30" s="38">
        <v>10</v>
      </c>
      <c r="E30" s="15" t="s">
        <v>57</v>
      </c>
      <c r="G30" s="34"/>
      <c r="H30" s="14"/>
      <c r="I30" s="38"/>
      <c r="J30" s="15"/>
      <c r="K30" s="15"/>
      <c r="L30" s="15"/>
      <c r="M30" s="15"/>
      <c r="N30" s="98"/>
      <c r="O30" s="15"/>
      <c r="P30" s="15"/>
    </row>
    <row r="31" spans="2:16" ht="15.95" customHeight="1">
      <c r="B31" s="34">
        <v>2022</v>
      </c>
      <c r="C31" t="s">
        <v>68</v>
      </c>
      <c r="D31" s="38">
        <v>3890</v>
      </c>
      <c r="E31" s="15" t="s">
        <v>58</v>
      </c>
      <c r="G31" s="34"/>
      <c r="I31" s="38"/>
      <c r="J31" s="15"/>
      <c r="K31" s="15"/>
      <c r="L31" s="15"/>
      <c r="M31" s="15"/>
      <c r="N31" s="98"/>
      <c r="O31" s="15"/>
      <c r="P31" s="15"/>
    </row>
    <row r="32" spans="2:16" ht="15.95" customHeight="1">
      <c r="B32" s="34">
        <v>2023</v>
      </c>
      <c r="C32" s="14" t="s">
        <v>69</v>
      </c>
      <c r="D32" s="38">
        <v>180</v>
      </c>
      <c r="E32" s="15" t="s">
        <v>56</v>
      </c>
      <c r="G32" s="34"/>
      <c r="H32" s="14"/>
      <c r="I32" s="38"/>
      <c r="J32" s="15"/>
      <c r="K32" s="15"/>
      <c r="L32" s="15"/>
      <c r="M32" s="15"/>
      <c r="N32" s="98"/>
      <c r="O32" s="15"/>
      <c r="P32" s="15"/>
    </row>
    <row r="33" spans="2:16" ht="15.95" customHeight="1">
      <c r="B33" s="34">
        <v>2024</v>
      </c>
      <c r="C33" s="14" t="s">
        <v>67</v>
      </c>
      <c r="D33" s="38">
        <v>660</v>
      </c>
      <c r="E33" s="15" t="s">
        <v>57</v>
      </c>
      <c r="G33" s="34"/>
      <c r="H33" s="14"/>
      <c r="I33" s="38"/>
      <c r="J33" s="15"/>
      <c r="K33" s="15"/>
      <c r="L33" s="15"/>
      <c r="M33" s="15"/>
      <c r="N33" s="98"/>
      <c r="O33" s="15"/>
      <c r="P33" s="15"/>
    </row>
    <row r="34" spans="2:16" ht="15.95" customHeight="1" thickBot="1">
      <c r="B34" s="36">
        <v>2025</v>
      </c>
      <c r="C34" s="14" t="s">
        <v>70</v>
      </c>
      <c r="D34" s="39">
        <v>899</v>
      </c>
      <c r="E34" s="16" t="s">
        <v>58</v>
      </c>
      <c r="G34" s="36"/>
      <c r="H34" s="14"/>
      <c r="I34" s="39"/>
      <c r="J34" s="16"/>
      <c r="K34" s="16"/>
      <c r="L34" s="16"/>
      <c r="M34" s="16"/>
      <c r="N34" s="99"/>
      <c r="O34" s="16"/>
      <c r="P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VENDAS</vt:lpstr>
      <vt:lpstr>APURAÇÃO SUBTOTAIS</vt:lpstr>
      <vt:lpstr>CONSOLIDAÇÃO VALORES</vt:lpstr>
      <vt:lpstr>Tabela Dinâmica </vt:lpstr>
      <vt:lpstr>TABELA DINÂMICA</vt:lpstr>
      <vt:lpstr>DADOS GRÁFICO</vt:lpstr>
      <vt:lpstr>PEDIDOS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Lucas</cp:lastModifiedBy>
  <dcterms:created xsi:type="dcterms:W3CDTF">2011-05-09T13:39:36Z</dcterms:created>
  <dcterms:modified xsi:type="dcterms:W3CDTF">2014-09-20T16:52:47Z</dcterms:modified>
</cp:coreProperties>
</file>